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Zone_Rankings_2030" sheetId="2" state="visible" r:id="rId2"/>
    <sheet name="Complete_Timeline_2015_2030" sheetId="3" state="visible" r:id="rId3"/>
    <sheet name="Prediction_Horizon_2027_2030" sheetId="4" state="visible" r:id="rId4"/>
    <sheet name="Civic_Resource_Demands" sheetId="5" state="visible" r:id="rId5"/>
    <sheet name="Model_Benchmark_Evaluation" sheetId="6" state="visible" r:id="rId6"/>
    <sheet name="Formulas_And_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-"/>
    <numFmt numFmtId="165" formatCode="0.0000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75569"/>
      <sz val="11"/>
    </font>
    <font>
      <name val="Calibri"/>
      <b val="1"/>
      <sz val="10"/>
    </font>
    <font>
      <name val="Calibri"/>
      <sz val="10"/>
    </font>
    <font>
      <name val="Calibri"/>
      <b val="1"/>
      <color rgb="001B365D"/>
      <sz val="13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0284C7"/>
      <sz val="10"/>
    </font>
    <font>
      <name val="Calibri"/>
      <b val="1"/>
      <color rgb="00059669"/>
      <sz val="10"/>
    </font>
    <font>
      <name val="Consolas"/>
      <b val="1"/>
      <color rgb="001E293B"/>
      <sz val="9"/>
    </font>
  </fonts>
  <fills count="16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1B365D"/>
        <bgColor rgb="001B365D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059669"/>
        <bgColor rgb="00059669"/>
      </patternFill>
    </fill>
    <fill>
      <patternFill patternType="solid">
        <fgColor rgb="000284C7"/>
        <bgColor rgb="000284C7"/>
      </patternFill>
    </fill>
    <fill>
      <patternFill patternType="solid">
        <fgColor rgb="00D97706"/>
        <bgColor rgb="00D9770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pivotButton="0" quotePrefix="0" xfId="0"/>
    <xf numFmtId="3" fontId="3" fillId="0" borderId="1" pivotButton="0" quotePrefix="0" xfId="0"/>
    <xf numFmtId="1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2" fontId="3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pivotButton="0" quotePrefix="0" xfId="0"/>
    <xf numFmtId="3" fontId="4" fillId="5" borderId="1" pivotButton="0" quotePrefix="0" xfId="0"/>
    <xf numFmtId="3" fontId="3" fillId="5" borderId="1" pivotButton="0" quotePrefix="0" xfId="0"/>
    <xf numFmtId="10" fontId="4" fillId="5" borderId="1" pivotButton="0" quotePrefix="0" xfId="0"/>
    <xf numFmtId="4" fontId="4" fillId="5" borderId="1" pivotButton="0" quotePrefix="0" xfId="0"/>
    <xf numFmtId="2" fontId="4" fillId="5" borderId="1" pivotButton="0" quotePrefix="0" xfId="0"/>
    <xf numFmtId="2" fontId="3" fillId="5" borderId="1" applyAlignment="1" pivotButton="0" quotePrefix="0" xfId="0">
      <alignment horizontal="right" vertical="center"/>
    </xf>
    <xf numFmtId="0" fontId="4" fillId="5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pivotButton="0" quotePrefix="0" xfId="0"/>
    <xf numFmtId="3" fontId="10" fillId="8" borderId="2" pivotButton="0" quotePrefix="0" xfId="0"/>
    <xf numFmtId="10" fontId="10" fillId="8" borderId="2" pivotButton="0" quotePrefix="0" xfId="0"/>
    <xf numFmtId="4" fontId="10" fillId="8" borderId="2" pivotButton="0" quotePrefix="0" xfId="0"/>
    <xf numFmtId="2" fontId="10" fillId="8" borderId="2" pivotButton="0" quotePrefix="0" xfId="0"/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3" fontId="4" fillId="10" borderId="1" pivotButton="0" quotePrefix="0" xfId="0"/>
    <xf numFmtId="4" fontId="4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4" fillId="11" borderId="1" pivotButton="0" quotePrefix="0" xfId="0"/>
    <xf numFmtId="3" fontId="4" fillId="11" borderId="1" pivotButton="0" quotePrefix="0" xfId="0"/>
    <xf numFmtId="4" fontId="4" fillId="11" borderId="1" pivotButton="0" quotePrefix="0" xfId="0"/>
    <xf numFmtId="0" fontId="4" fillId="12" borderId="1" applyAlignment="1" pivotButton="0" quotePrefix="0" xfId="0">
      <alignment horizontal="center" vertical="center"/>
    </xf>
    <xf numFmtId="0" fontId="4" fillId="12" borderId="1" pivotButton="0" quotePrefix="0" xfId="0"/>
    <xf numFmtId="0" fontId="11" fillId="12" borderId="1" applyAlignment="1" pivotButton="0" quotePrefix="0" xfId="0">
      <alignment horizontal="center" vertical="center"/>
    </xf>
    <xf numFmtId="3" fontId="4" fillId="12" borderId="1" pivotButton="0" quotePrefix="0" xfId="0"/>
    <xf numFmtId="4" fontId="4" fillId="12" borderId="1" pivotButton="0" quotePrefix="0" xfId="0"/>
    <xf numFmtId="164" fontId="4" fillId="12" borderId="1" pivotButton="0" quotePrefix="0" xfId="0"/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165" fontId="4" fillId="0" borderId="1" pivotButton="0" quotePrefix="0" xfId="0"/>
    <xf numFmtId="165" fontId="12" fillId="0" borderId="1" pivotButton="0" quotePrefix="0" xfId="0"/>
    <xf numFmtId="10" fontId="13" fillId="0" borderId="1" applyAlignment="1" pivotButton="0" quotePrefix="0" xfId="0">
      <alignment horizontal="right" vertical="center"/>
    </xf>
    <xf numFmtId="10" fontId="12" fillId="5" borderId="1" pivotButton="0" quotePrefix="0" xfId="0"/>
    <xf numFmtId="10" fontId="13" fillId="5" borderId="1" applyAlignment="1" pivotButton="0" quotePrefix="0" xfId="0">
      <alignment horizontal="right" vertical="center"/>
    </xf>
    <xf numFmtId="4" fontId="12" fillId="0" borderId="1" pivotButton="0" quotePrefix="0" xfId="0"/>
    <xf numFmtId="4" fontId="12" fillId="5" borderId="1" pivotButton="0" quotePrefix="0" xfId="0"/>
    <xf numFmtId="0" fontId="6" fillId="15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10" fillId="8" borderId="2" pivotButton="0" quotePrefix="0" xfId="0"/>
    <xf numFmtId="0" fontId="14" fillId="0" borderId="1" pivotButton="0" quotePrefix="0" xfId="0"/>
    <xf numFmtId="0" fontId="1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75" customWidth="1" min="2" max="2"/>
    <col width="42" customWidth="1" min="3" max="3"/>
    <col width="62" customWidth="1" min="4" max="4"/>
    <col width="24" customWidth="1" min="5" max="5"/>
    <col width="68" customWidth="1" min="6" max="6"/>
  </cols>
  <sheetData>
    <row r="1">
      <c r="A1" s="1" t="inlineStr">
        <is>
          <t>GREATER CHENNAI CORPORATION (GCC) - URBAN RESOURCE OPTIMIZATION</t>
        </is>
      </c>
    </row>
    <row r="2">
      <c r="A2" s="2" t="inlineStr">
        <is>
          <t>Multi-Sector Forecasting &amp; Civic Infrastructure Prediction Results (15 Zones, 2015–2030)</t>
        </is>
      </c>
    </row>
    <row r="3"/>
    <row r="4">
      <c r="A4" s="3" t="inlineStr">
        <is>
          <t>PROJECT &amp; MODEL SPECIFICATIONS</t>
        </is>
      </c>
      <c r="B4" s="4" t="inlineStr"/>
      <c r="C4" s="3" t="inlineStr">
        <is>
          <t>CIVIC INFRASTRUCTURE PLANNING STANDARDS</t>
        </is>
      </c>
      <c r="D4" s="4" t="inlineStr"/>
    </row>
    <row r="5">
      <c r="A5" s="5" t="inlineStr">
        <is>
          <t>Primary Machine Learning Architecture</t>
        </is>
      </c>
      <c r="B5" s="6" t="inlineStr">
        <is>
          <t>Hybrid PyTorch LSTM (Temporal) + XGBoost GBDT (Spatial Localizer)</t>
        </is>
      </c>
      <c r="C5" s="5" t="inlineStr">
        <is>
          <t>Domestic Municipal Water Standard</t>
        </is>
      </c>
      <c r="D5" s="6" t="inlineStr">
        <is>
          <t>135.00 Liters / Capita / Day (MoHUA / CPHEEO norm)</t>
        </is>
      </c>
    </row>
    <row r="6">
      <c r="A6" s="5" t="inlineStr">
        <is>
          <t>Earth Observation Satellite Proxies</t>
        </is>
      </c>
      <c r="B6" s="6" t="inlineStr">
        <is>
          <t>GHSL Physical Built-Up Footprint + VIIRS Nighttime Radiance</t>
        </is>
      </c>
      <c r="C6" s="5" t="inlineStr">
        <is>
          <t>Urban Electric Power Benchmark</t>
        </is>
      </c>
      <c r="D6" s="6" t="inlineStr">
        <is>
          <t>3.50 kWh / Capita / Day (~1.28 MWh/person/yr CEA standard)</t>
        </is>
      </c>
    </row>
    <row r="7">
      <c r="A7" s="5" t="inlineStr">
        <is>
          <t>Model Evaluation Performance (R² Score)</t>
        </is>
      </c>
      <c r="B7" s="6" t="inlineStr">
        <is>
          <t>0.9994 (Hybrid) vs 0.9985 (Pure LSTM) vs 1.0000 (Baseline)</t>
        </is>
      </c>
      <c r="C7" s="5" t="inlineStr">
        <is>
          <t>Healthcare Capacity Benchmark</t>
        </is>
      </c>
      <c r="D7" s="6" t="inlineStr">
        <is>
          <t>3.00 Hospital Beds / 1,000 residents (IPHS standard)</t>
        </is>
      </c>
    </row>
    <row r="8">
      <c r="A8" s="5" t="inlineStr">
        <is>
          <t>Mean Absolute Percentage Error (MAPE)</t>
        </is>
      </c>
      <c r="B8" s="6" t="inlineStr">
        <is>
          <t>0.66% (Hybrid) vs 2.74% (Pure LSTM) — 75.9% Error Reduction</t>
        </is>
      </c>
      <c r="C8" s="5" t="inlineStr">
        <is>
          <t>Public Education Benchmark</t>
        </is>
      </c>
      <c r="D8" s="6" t="inlineStr">
        <is>
          <t>50.00 School Seats / 1,000 residents (RTE / UDPFI standard)</t>
        </is>
      </c>
    </row>
    <row r="9">
      <c r="A9" s="5" t="inlineStr">
        <is>
          <t>Mean Absolute Error (MAE in Persons)</t>
        </is>
      </c>
      <c r="B9" s="6" t="inlineStr">
        <is>
          <t>4,337.70 Persons (Hybrid) vs 8,299.06 (Pure LSTM) — 47.7% Drop</t>
        </is>
      </c>
      <c r="C9" s="5" t="inlineStr">
        <is>
          <t>Civic Prioritization Formula</t>
        </is>
      </c>
      <c r="D9" s="6" t="inlineStr">
        <is>
          <t>Score = 0.40 * Growth + 0.35 * Density + 0.25 * Demand</t>
        </is>
      </c>
    </row>
    <row r="10">
      <c r="A10" s="5" t="inlineStr">
        <is>
          <t>Dataset Geographic &amp; Temporal Scope</t>
        </is>
      </c>
      <c r="B10" s="6" t="inlineStr">
        <is>
          <t>15 Corporation Zones, 16 Annual Epochs (2015 Observed to 2030 Predicted)</t>
        </is>
      </c>
      <c r="C10" s="5" t="inlineStr">
        <is>
          <t>Priority Action Thresholds</t>
        </is>
      </c>
      <c r="D10" s="6" t="inlineStr">
        <is>
          <t>HIGH (&gt;=25.0) | MEDIUM (15.0 - 24.9) | LOW (&lt;15.0)</t>
        </is>
      </c>
    </row>
    <row r="11"/>
    <row r="12">
      <c r="A12" s="7" t="inlineStr">
        <is>
          <t>GREATER CHENNAI CORPORATION (15 ZONES AGGREGATE) - PREDICTION KPI HIGHLIGHTS</t>
        </is>
      </c>
    </row>
    <row r="13">
      <c r="A13" s="8" t="inlineStr">
        <is>
          <t>Metric Description</t>
        </is>
      </c>
      <c r="B13" s="8" t="inlineStr">
        <is>
          <t>Baseline Epoch (2026)</t>
        </is>
      </c>
      <c r="C13" s="8" t="inlineStr">
        <is>
          <t>Predicted Horizon (2030)</t>
        </is>
      </c>
      <c r="D13" s="8" t="inlineStr">
        <is>
          <t>Net Incremental Growth</t>
        </is>
      </c>
      <c r="E13" s="8" t="inlineStr">
        <is>
          <t>Percentage Change (%)</t>
        </is>
      </c>
      <c r="F13" s="8" t="inlineStr">
        <is>
          <t>Key Strategic Implication</t>
        </is>
      </c>
    </row>
    <row r="14">
      <c r="A14" s="5" t="inlineStr">
        <is>
          <t>Total Urban Population (Persons)</t>
        </is>
      </c>
      <c r="B14" s="9" t="n">
        <v>8357784.19</v>
      </c>
      <c r="C14" s="10" t="n">
        <v>8469550.41</v>
      </c>
      <c r="D14" s="10" t="n">
        <v>111766.22</v>
      </c>
      <c r="E14" s="11" t="n">
        <v>0.0134</v>
      </c>
      <c r="F14" s="6" t="inlineStr">
        <is>
          <t>Additional 111,766 urban citizens requiring municipal services</t>
        </is>
      </c>
    </row>
    <row r="15">
      <c r="A15" s="5" t="inlineStr">
        <is>
          <t>Daily Municipal Water Demand (MLD)</t>
        </is>
      </c>
      <c r="B15" s="9" t="n">
        <v>1128.3</v>
      </c>
      <c r="C15" s="10" t="n">
        <v>1143.39</v>
      </c>
      <c r="D15" s="10" t="n">
        <v>15.09</v>
      </c>
      <c r="E15" s="11" t="n">
        <v>0.0134</v>
      </c>
      <c r="F15" s="6" t="inlineStr">
        <is>
          <t>Requires 15.09 MLD additional daily potable water supply capacity</t>
        </is>
      </c>
    </row>
    <row r="16">
      <c r="A16" s="5" t="inlineStr">
        <is>
          <t>Daily Electric Power Demand (MWh/day)</t>
        </is>
      </c>
      <c r="B16" s="9" t="n">
        <v>29252.24</v>
      </c>
      <c r="C16" s="10" t="n">
        <v>29643.43</v>
      </c>
      <c r="D16" s="10" t="n">
        <v>391.18</v>
      </c>
      <c r="E16" s="11" t="n">
        <v>0.0134</v>
      </c>
      <c r="F16" s="6" t="inlineStr">
        <is>
          <t>Requires 391.18 MWh/day extra substation grid transmission</t>
        </is>
      </c>
    </row>
    <row r="17">
      <c r="A17" s="5" t="inlineStr">
        <is>
          <t>Public Hospital Beds Required (Count)</t>
        </is>
      </c>
      <c r="B17" s="12" t="n">
        <v>25073</v>
      </c>
      <c r="C17" s="13" t="n">
        <v>25409</v>
      </c>
      <c r="D17" s="13" t="n">
        <v>336</v>
      </c>
      <c r="E17" s="11" t="n">
        <v>0.0134</v>
      </c>
      <c r="F17" s="6" t="inlineStr">
        <is>
          <t>Requires 336 additional hospital beds in municipal dispensaries</t>
        </is>
      </c>
    </row>
    <row r="18">
      <c r="A18" s="5" t="inlineStr">
        <is>
          <t>Public School Seats Required (Count)</t>
        </is>
      </c>
      <c r="B18" s="12" t="n">
        <v>417889</v>
      </c>
      <c r="C18" s="13" t="n">
        <v>423478</v>
      </c>
      <c r="D18" s="13" t="n">
        <v>5589</v>
      </c>
      <c r="E18" s="11" t="n">
        <v>0.0134</v>
      </c>
      <c r="F18" s="6" t="inlineStr">
        <is>
          <t>Requires 5,589 new primary and secondary classroom seats</t>
        </is>
      </c>
    </row>
    <row r="19">
      <c r="A19" s="5" t="inlineStr">
        <is>
          <t>Total Physical Built-Up Footprint (km²)</t>
        </is>
      </c>
      <c r="B19" s="9" t="n">
        <v>126.66</v>
      </c>
      <c r="C19" s="10" t="n">
        <v>127.04</v>
      </c>
      <c r="D19" s="10" t="n">
        <v>0.38</v>
      </c>
      <c r="E19" s="11" t="n">
        <v>0.003</v>
      </c>
      <c r="F19" s="6" t="inlineStr">
        <is>
          <t>Satellite GHSL proxy confirms continued peri-urban consolidation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1" customWidth="1" min="2" max="2"/>
    <col width="12" customWidth="1" min="3" max="3"/>
    <col width="51" customWidth="1" min="4" max="4"/>
    <col width="18" customWidth="1" min="5" max="5"/>
    <col width="28" customWidth="1" min="6" max="6"/>
    <col width="26" customWidth="1" min="7" max="7"/>
    <col width="23" customWidth="1" min="8" max="8"/>
    <col width="26" customWidth="1" min="9" max="9"/>
    <col width="30" customWidth="1" min="10" max="10"/>
    <col width="21" customWidth="1" min="11" max="11"/>
    <col width="20" customWidth="1" min="12" max="12"/>
    <col width="22" customWidth="1" min="13" max="13"/>
    <col width="23" customWidth="1" min="14" max="14"/>
    <col width="22" customWidth="1" min="15" max="15"/>
    <col width="19" customWidth="1" min="16" max="16"/>
    <col width="17" customWidth="1" min="17" max="17"/>
    <col width="83" customWidth="1" min="18" max="18"/>
  </cols>
  <sheetData>
    <row r="1">
      <c r="A1" s="1" t="inlineStr">
        <is>
          <t>EXECUTIVE CIVIC RESOURCE ALLOCATION &amp; VULNERABILITY RANKING (2030 FORECAST)</t>
        </is>
      </c>
    </row>
    <row r="2">
      <c r="A2" s="2" t="inlineStr">
        <is>
          <t>Sorted by Priority Vulnerability Score (Growth 40% + Density 35% + Demand 25%)</t>
        </is>
      </c>
    </row>
    <row r="3"/>
    <row r="4" ht="28" customHeight="1">
      <c r="A4" s="8" t="inlineStr">
        <is>
          <t>Priority Rank</t>
        </is>
      </c>
      <c r="B4" s="8" t="inlineStr">
        <is>
          <t>Zone ID</t>
        </is>
      </c>
      <c r="C4" s="8" t="inlineStr">
        <is>
          <t>Zone Code</t>
        </is>
      </c>
      <c r="D4" s="8" t="inlineStr">
        <is>
          <t>Zone Name</t>
        </is>
      </c>
      <c r="E4" s="8" t="inlineStr">
        <is>
          <t>2026 Population</t>
        </is>
      </c>
      <c r="F4" s="8" t="inlineStr">
        <is>
          <t>2030 Predicted Population</t>
        </is>
      </c>
      <c r="G4" s="8" t="inlineStr">
        <is>
          <t>Net Population Addition</t>
        </is>
      </c>
      <c r="H4" s="8" t="inlineStr">
        <is>
          <t>Growth Rate (%)</t>
        </is>
      </c>
      <c r="I4" s="8" t="inlineStr">
        <is>
          <t>2030 Water Demand (MLD)</t>
        </is>
      </c>
      <c r="J4" s="8" t="inlineStr">
        <is>
          <t>2030 Power Demand (MWh/day)</t>
        </is>
      </c>
      <c r="K4" s="8" t="inlineStr">
        <is>
          <t>2030 Hospital Beds</t>
        </is>
      </c>
      <c r="L4" s="8" t="inlineStr">
        <is>
          <t>2030 School Seats</t>
        </is>
      </c>
      <c r="M4" s="8" t="inlineStr">
        <is>
          <t>Growth Factor (40%)</t>
        </is>
      </c>
      <c r="N4" s="8" t="inlineStr">
        <is>
          <t>Density Factor (35%)</t>
        </is>
      </c>
      <c r="O4" s="8" t="inlineStr">
        <is>
          <t>Demand Factor (25%)</t>
        </is>
      </c>
      <c r="P4" s="8" t="inlineStr">
        <is>
          <t>Priority Score</t>
        </is>
      </c>
      <c r="Q4" s="8" t="inlineStr">
        <is>
          <t>Priority Level</t>
        </is>
      </c>
      <c r="R4" s="8" t="inlineStr">
        <is>
          <t>Recommended Municipal Intervention</t>
        </is>
      </c>
    </row>
    <row r="5">
      <c r="A5" s="14" t="n">
        <v>1</v>
      </c>
      <c r="B5" s="14" t="n">
        <v>10</v>
      </c>
      <c r="C5" s="14" t="inlineStr">
        <is>
          <t>X</t>
        </is>
      </c>
      <c r="D5" s="5" t="inlineStr">
        <is>
          <t>Kodambakkam</t>
        </is>
      </c>
      <c r="E5" s="15" t="n">
        <v>895182.09</v>
      </c>
      <c r="F5" s="16" t="n">
        <v>906829.46</v>
      </c>
      <c r="G5" s="15" t="n">
        <v>11647.37</v>
      </c>
      <c r="H5" s="17" t="n">
        <v>0.01301117407297547</v>
      </c>
      <c r="I5" s="18" t="n">
        <v>122.4219771</v>
      </c>
      <c r="J5" s="18" t="n">
        <v>3173.90311</v>
      </c>
      <c r="K5" s="15" t="n">
        <v>2720</v>
      </c>
      <c r="L5" s="15" t="n">
        <v>45341</v>
      </c>
      <c r="M5" s="19" t="n">
        <v>3.25</v>
      </c>
      <c r="N5" s="19" t="n">
        <v>45.34</v>
      </c>
      <c r="O5" s="19" t="n">
        <v>36.73</v>
      </c>
      <c r="P5" s="20" t="n">
        <v>26.35</v>
      </c>
      <c r="Q5" s="21" t="inlineStr">
        <is>
          <t>HIGH</t>
        </is>
      </c>
      <c r="R5" s="6" t="inlineStr">
        <is>
          <t>Immediate budgetary prioritization; expand trunk water mains &amp; high-voltage grid</t>
        </is>
      </c>
    </row>
    <row r="6">
      <c r="A6" s="22" t="n">
        <v>2</v>
      </c>
      <c r="B6" s="22" t="n">
        <v>4</v>
      </c>
      <c r="C6" s="22" t="inlineStr">
        <is>
          <t>IV</t>
        </is>
      </c>
      <c r="D6" s="23" t="inlineStr">
        <is>
          <t>Tondiarpet</t>
        </is>
      </c>
      <c r="E6" s="24" t="n">
        <v>884147.49</v>
      </c>
      <c r="F6" s="25" t="n">
        <v>896391.49</v>
      </c>
      <c r="G6" s="24" t="n">
        <v>12244</v>
      </c>
      <c r="H6" s="26" t="n">
        <v>0.01384836821738871</v>
      </c>
      <c r="I6" s="27" t="n">
        <v>121.01285115</v>
      </c>
      <c r="J6" s="27" t="n">
        <v>3137.370215</v>
      </c>
      <c r="K6" s="24" t="n">
        <v>2689</v>
      </c>
      <c r="L6" s="24" t="n">
        <v>44820</v>
      </c>
      <c r="M6" s="28" t="n">
        <v>3.46</v>
      </c>
      <c r="N6" s="28" t="n">
        <v>44.82</v>
      </c>
      <c r="O6" s="28" t="n">
        <v>36.3</v>
      </c>
      <c r="P6" s="29" t="n">
        <v>26.15</v>
      </c>
      <c r="Q6" s="21" t="inlineStr">
        <is>
          <t>HIGH</t>
        </is>
      </c>
      <c r="R6" s="30" t="inlineStr">
        <is>
          <t>Immediate budgetary prioritization; expand trunk water mains &amp; high-voltage grid</t>
        </is>
      </c>
    </row>
    <row r="7">
      <c r="A7" s="14" t="n">
        <v>3</v>
      </c>
      <c r="B7" s="14" t="n">
        <v>8</v>
      </c>
      <c r="C7" s="14" t="inlineStr">
        <is>
          <t>VIII</t>
        </is>
      </c>
      <c r="D7" s="5" t="inlineStr">
        <is>
          <t>Annanagar</t>
        </is>
      </c>
      <c r="E7" s="15" t="n">
        <v>814702.6899999999</v>
      </c>
      <c r="F7" s="16" t="n">
        <v>825373.96</v>
      </c>
      <c r="G7" s="15" t="n">
        <v>10671.27000000002</v>
      </c>
      <c r="H7" s="17" t="n">
        <v>0.01309836107206178</v>
      </c>
      <c r="I7" s="18" t="n">
        <v>111.4254846</v>
      </c>
      <c r="J7" s="18" t="n">
        <v>2888.80886</v>
      </c>
      <c r="K7" s="15" t="n">
        <v>2476</v>
      </c>
      <c r="L7" s="15" t="n">
        <v>41269</v>
      </c>
      <c r="M7" s="19" t="n">
        <v>3.27</v>
      </c>
      <c r="N7" s="19" t="n">
        <v>41.27</v>
      </c>
      <c r="O7" s="19" t="n">
        <v>33.43</v>
      </c>
      <c r="P7" s="20" t="n">
        <v>24.11</v>
      </c>
      <c r="Q7" s="31" t="inlineStr">
        <is>
          <t>MEDIUM</t>
        </is>
      </c>
      <c r="R7" s="6" t="inlineStr">
        <is>
          <t>Moderate infrastructure augmentation; planned healthcare and schooling expansion</t>
        </is>
      </c>
    </row>
    <row r="8">
      <c r="A8" s="22" t="n">
        <v>4</v>
      </c>
      <c r="B8" s="22" t="n">
        <v>6</v>
      </c>
      <c r="C8" s="22" t="inlineStr">
        <is>
          <t>VI</t>
        </is>
      </c>
      <c r="D8" s="23" t="inlineStr">
        <is>
          <t>Thiru-Vi-Ka-Nagar</t>
        </is>
      </c>
      <c r="E8" s="24" t="n">
        <v>792183.72</v>
      </c>
      <c r="F8" s="25" t="n">
        <v>802802.98</v>
      </c>
      <c r="G8" s="24" t="n">
        <v>10619.26000000001</v>
      </c>
      <c r="H8" s="26" t="n">
        <v>0.0134050470009659</v>
      </c>
      <c r="I8" s="27" t="n">
        <v>108.3784023</v>
      </c>
      <c r="J8" s="27" t="n">
        <v>2809.81043</v>
      </c>
      <c r="K8" s="24" t="n">
        <v>2408</v>
      </c>
      <c r="L8" s="24" t="n">
        <v>40140</v>
      </c>
      <c r="M8" s="28" t="n">
        <v>3.35</v>
      </c>
      <c r="N8" s="28" t="n">
        <v>40.14</v>
      </c>
      <c r="O8" s="28" t="n">
        <v>32.51</v>
      </c>
      <c r="P8" s="29" t="n">
        <v>23.52</v>
      </c>
      <c r="Q8" s="31" t="inlineStr">
        <is>
          <t>MEDIUM</t>
        </is>
      </c>
      <c r="R8" s="30" t="inlineStr">
        <is>
          <t>Moderate infrastructure augmentation; planned healthcare and schooling expansion</t>
        </is>
      </c>
    </row>
    <row r="9">
      <c r="A9" s="14" t="n">
        <v>5</v>
      </c>
      <c r="B9" s="14" t="n">
        <v>9</v>
      </c>
      <c r="C9" s="14" t="inlineStr">
        <is>
          <t>IX</t>
        </is>
      </c>
      <c r="D9" s="5" t="inlineStr">
        <is>
          <t>Teynampet</t>
        </is>
      </c>
      <c r="E9" s="15" t="n">
        <v>767823.5</v>
      </c>
      <c r="F9" s="16" t="n">
        <v>777654.21</v>
      </c>
      <c r="G9" s="15" t="n">
        <v>9830.709999999963</v>
      </c>
      <c r="H9" s="17" t="n">
        <v>0.01280334608148873</v>
      </c>
      <c r="I9" s="18" t="n">
        <v>104.98331835</v>
      </c>
      <c r="J9" s="18" t="n">
        <v>2721.789735</v>
      </c>
      <c r="K9" s="15" t="n">
        <v>2333</v>
      </c>
      <c r="L9" s="15" t="n">
        <v>38883</v>
      </c>
      <c r="M9" s="19" t="n">
        <v>3.2</v>
      </c>
      <c r="N9" s="19" t="n">
        <v>38.88</v>
      </c>
      <c r="O9" s="19" t="n">
        <v>31.49</v>
      </c>
      <c r="P9" s="20" t="n">
        <v>22.76</v>
      </c>
      <c r="Q9" s="31" t="inlineStr">
        <is>
          <t>MEDIUM</t>
        </is>
      </c>
      <c r="R9" s="6" t="inlineStr">
        <is>
          <t>Moderate infrastructure augmentation; planned healthcare and schooling expansion</t>
        </is>
      </c>
    </row>
    <row r="10">
      <c r="A10" s="22" t="n">
        <v>6</v>
      </c>
      <c r="B10" s="22" t="n">
        <v>5</v>
      </c>
      <c r="C10" s="22" t="inlineStr">
        <is>
          <t>V</t>
        </is>
      </c>
      <c r="D10" s="23" t="inlineStr">
        <is>
          <t>Royapuram</t>
        </is>
      </c>
      <c r="E10" s="24" t="n">
        <v>758394.16</v>
      </c>
      <c r="F10" s="25" t="n">
        <v>768030.5</v>
      </c>
      <c r="G10" s="24" t="n">
        <v>9636.339999999967</v>
      </c>
      <c r="H10" s="26" t="n">
        <v>0.01270624235819533</v>
      </c>
      <c r="I10" s="27" t="n">
        <v>103.6841175</v>
      </c>
      <c r="J10" s="27" t="n">
        <v>2688.10675</v>
      </c>
      <c r="K10" s="24" t="n">
        <v>2304</v>
      </c>
      <c r="L10" s="24" t="n">
        <v>38402</v>
      </c>
      <c r="M10" s="28" t="n">
        <v>3.18</v>
      </c>
      <c r="N10" s="28" t="n">
        <v>38.4</v>
      </c>
      <c r="O10" s="28" t="n">
        <v>31.11</v>
      </c>
      <c r="P10" s="29" t="n">
        <v>22.49</v>
      </c>
      <c r="Q10" s="31" t="inlineStr">
        <is>
          <t>MEDIUM</t>
        </is>
      </c>
      <c r="R10" s="30" t="inlineStr">
        <is>
          <t>Moderate infrastructure augmentation; planned healthcare and schooling expansion</t>
        </is>
      </c>
    </row>
    <row r="11">
      <c r="A11" s="14" t="n">
        <v>7</v>
      </c>
      <c r="B11" s="14" t="n">
        <v>7</v>
      </c>
      <c r="C11" s="14" t="inlineStr">
        <is>
          <t>VII</t>
        </is>
      </c>
      <c r="D11" s="5" t="inlineStr">
        <is>
          <t>Ambattur</t>
        </is>
      </c>
      <c r="E11" s="15" t="n">
        <v>739582.16</v>
      </c>
      <c r="F11" s="16" t="n">
        <v>749844.89</v>
      </c>
      <c r="G11" s="15" t="n">
        <v>10262.72999999998</v>
      </c>
      <c r="H11" s="17" t="n">
        <v>0.01387638933854216</v>
      </c>
      <c r="I11" s="18" t="n">
        <v>101.22906015</v>
      </c>
      <c r="J11" s="18" t="n">
        <v>2624.457115</v>
      </c>
      <c r="K11" s="15" t="n">
        <v>2250</v>
      </c>
      <c r="L11" s="15" t="n">
        <v>37492</v>
      </c>
      <c r="M11" s="19" t="n">
        <v>3.47</v>
      </c>
      <c r="N11" s="19" t="n">
        <v>37.49</v>
      </c>
      <c r="O11" s="19" t="n">
        <v>30.37</v>
      </c>
      <c r="P11" s="20" t="n">
        <v>22.1</v>
      </c>
      <c r="Q11" s="31" t="inlineStr">
        <is>
          <t>MEDIUM</t>
        </is>
      </c>
      <c r="R11" s="6" t="inlineStr">
        <is>
          <t>Moderate infrastructure augmentation; planned healthcare and schooling expansion</t>
        </is>
      </c>
    </row>
    <row r="12">
      <c r="A12" s="22" t="n">
        <v>8</v>
      </c>
      <c r="B12" s="22" t="n">
        <v>13</v>
      </c>
      <c r="C12" s="22" t="inlineStr">
        <is>
          <t>XIII</t>
        </is>
      </c>
      <c r="D12" s="23" t="inlineStr">
        <is>
          <t>Adyar</t>
        </is>
      </c>
      <c r="E12" s="24" t="n">
        <v>678659.61</v>
      </c>
      <c r="F12" s="25" t="n">
        <v>687635.89</v>
      </c>
      <c r="G12" s="24" t="n">
        <v>8976.280000000028</v>
      </c>
      <c r="H12" s="26" t="n">
        <v>0.01322648330287407</v>
      </c>
      <c r="I12" s="27" t="n">
        <v>92.83084515</v>
      </c>
      <c r="J12" s="27" t="n">
        <v>2406.725615</v>
      </c>
      <c r="K12" s="24" t="n">
        <v>2063</v>
      </c>
      <c r="L12" s="24" t="n">
        <v>34382</v>
      </c>
      <c r="M12" s="28" t="n">
        <v>3.31</v>
      </c>
      <c r="N12" s="28" t="n">
        <v>34.38</v>
      </c>
      <c r="O12" s="28" t="n">
        <v>27.85</v>
      </c>
      <c r="P12" s="29" t="n">
        <v>20.32</v>
      </c>
      <c r="Q12" s="31" t="inlineStr">
        <is>
          <t>MEDIUM</t>
        </is>
      </c>
      <c r="R12" s="30" t="inlineStr">
        <is>
          <t>Moderate infrastructure augmentation; planned healthcare and schooling expansion</t>
        </is>
      </c>
    </row>
    <row r="13">
      <c r="A13" s="14" t="n">
        <v>9</v>
      </c>
      <c r="B13" s="14" t="n">
        <v>14</v>
      </c>
      <c r="C13" s="14" t="inlineStr">
        <is>
          <t>XIV</t>
        </is>
      </c>
      <c r="D13" s="5" t="inlineStr">
        <is>
          <t>Perungudi</t>
        </is>
      </c>
      <c r="E13" s="15" t="n">
        <v>461512.4</v>
      </c>
      <c r="F13" s="16" t="n">
        <v>468084.38</v>
      </c>
      <c r="G13" s="15" t="n">
        <v>6571.979999999981</v>
      </c>
      <c r="H13" s="17" t="n">
        <v>0.01424009409064628</v>
      </c>
      <c r="I13" s="18" t="n">
        <v>63.1913913</v>
      </c>
      <c r="J13" s="18" t="n">
        <v>1638.29533</v>
      </c>
      <c r="K13" s="15" t="n">
        <v>1404</v>
      </c>
      <c r="L13" s="15" t="n">
        <v>23404</v>
      </c>
      <c r="M13" s="19" t="n">
        <v>3.56</v>
      </c>
      <c r="N13" s="19" t="n">
        <v>23.4</v>
      </c>
      <c r="O13" s="19" t="n">
        <v>18.96</v>
      </c>
      <c r="P13" s="20" t="n">
        <v>14.35</v>
      </c>
      <c r="Q13" s="32" t="inlineStr">
        <is>
          <t>LOW</t>
        </is>
      </c>
      <c r="R13" s="6" t="inlineStr">
        <is>
          <t>Baseline regular maintenance; decentralized localized civic upgrades</t>
        </is>
      </c>
    </row>
    <row r="14">
      <c r="A14" s="22" t="n">
        <v>10</v>
      </c>
      <c r="B14" s="22" t="n">
        <v>11</v>
      </c>
      <c r="C14" s="22" t="inlineStr">
        <is>
          <t>XI</t>
        </is>
      </c>
      <c r="D14" s="23" t="inlineStr">
        <is>
          <t>Valasaravakkam</t>
        </is>
      </c>
      <c r="E14" s="24" t="n">
        <v>381915.68</v>
      </c>
      <c r="F14" s="25" t="n">
        <v>386974.21</v>
      </c>
      <c r="G14" s="24" t="n">
        <v>5058.530000000028</v>
      </c>
      <c r="H14" s="26" t="n">
        <v>0.013245148772106</v>
      </c>
      <c r="I14" s="27" t="n">
        <v>52.24151835</v>
      </c>
      <c r="J14" s="27" t="n">
        <v>1354.409735</v>
      </c>
      <c r="K14" s="24" t="n">
        <v>1161</v>
      </c>
      <c r="L14" s="24" t="n">
        <v>19349</v>
      </c>
      <c r="M14" s="28" t="n">
        <v>3.31</v>
      </c>
      <c r="N14" s="28" t="n">
        <v>19.35</v>
      </c>
      <c r="O14" s="28" t="n">
        <v>15.67</v>
      </c>
      <c r="P14" s="29" t="n">
        <v>12.01</v>
      </c>
      <c r="Q14" s="32" t="inlineStr">
        <is>
          <t>LOW</t>
        </is>
      </c>
      <c r="R14" s="30" t="inlineStr">
        <is>
          <t>Baseline regular maintenance; decentralized localized civic upgrades</t>
        </is>
      </c>
    </row>
    <row r="15">
      <c r="A15" s="14" t="n">
        <v>11</v>
      </c>
      <c r="B15" s="14" t="n">
        <v>1</v>
      </c>
      <c r="C15" s="14" t="inlineStr">
        <is>
          <t>I</t>
        </is>
      </c>
      <c r="D15" s="5" t="inlineStr">
        <is>
          <t>Thiruvottiyur</t>
        </is>
      </c>
      <c r="E15" s="15" t="n">
        <v>355933.9</v>
      </c>
      <c r="F15" s="16" t="n">
        <v>360710.59</v>
      </c>
      <c r="G15" s="15" t="n">
        <v>4776.690000000002</v>
      </c>
      <c r="H15" s="17" t="n">
        <v>0.01342016031628345</v>
      </c>
      <c r="I15" s="18" t="n">
        <v>48.69592965</v>
      </c>
      <c r="J15" s="18" t="n">
        <v>1262.487065</v>
      </c>
      <c r="K15" s="15" t="n">
        <v>1082</v>
      </c>
      <c r="L15" s="15" t="n">
        <v>18036</v>
      </c>
      <c r="M15" s="19" t="n">
        <v>3.36</v>
      </c>
      <c r="N15" s="19" t="n">
        <v>18.04</v>
      </c>
      <c r="O15" s="19" t="n">
        <v>14.61</v>
      </c>
      <c r="P15" s="20" t="n">
        <v>11.31</v>
      </c>
      <c r="Q15" s="32" t="inlineStr">
        <is>
          <t>LOW</t>
        </is>
      </c>
      <c r="R15" s="6" t="inlineStr">
        <is>
          <t>Baseline regular maintenance; decentralized localized civic upgrades</t>
        </is>
      </c>
    </row>
    <row r="16">
      <c r="A16" s="22" t="n">
        <v>12</v>
      </c>
      <c r="B16" s="22" t="n">
        <v>12</v>
      </c>
      <c r="C16" s="22" t="inlineStr">
        <is>
          <t>XII</t>
        </is>
      </c>
      <c r="D16" s="23" t="inlineStr">
        <is>
          <t>Alandur</t>
        </is>
      </c>
      <c r="E16" s="24" t="n">
        <v>270760.14</v>
      </c>
      <c r="F16" s="25" t="n">
        <v>274378.1</v>
      </c>
      <c r="G16" s="24" t="n">
        <v>3617.959999999963</v>
      </c>
      <c r="H16" s="26" t="n">
        <v>0.01336223271268793</v>
      </c>
      <c r="I16" s="27" t="n">
        <v>37.0410435</v>
      </c>
      <c r="J16" s="27" t="n">
        <v>960.3233499999999</v>
      </c>
      <c r="K16" s="24" t="n">
        <v>823</v>
      </c>
      <c r="L16" s="24" t="n">
        <v>13719</v>
      </c>
      <c r="M16" s="28" t="n">
        <v>3.34</v>
      </c>
      <c r="N16" s="28" t="n">
        <v>13.72</v>
      </c>
      <c r="O16" s="28" t="n">
        <v>11.11</v>
      </c>
      <c r="P16" s="29" t="n">
        <v>8.92</v>
      </c>
      <c r="Q16" s="32" t="inlineStr">
        <is>
          <t>LOW</t>
        </is>
      </c>
      <c r="R16" s="30" t="inlineStr">
        <is>
          <t>Baseline regular maintenance; decentralized localized civic upgrades</t>
        </is>
      </c>
    </row>
    <row r="17">
      <c r="A17" s="14" t="n">
        <v>13</v>
      </c>
      <c r="B17" s="14" t="n">
        <v>3</v>
      </c>
      <c r="C17" s="14" t="inlineStr">
        <is>
          <t>III</t>
        </is>
      </c>
      <c r="D17" s="5" t="inlineStr">
        <is>
          <t>Madhavaram</t>
        </is>
      </c>
      <c r="E17" s="15" t="n">
        <v>247316.23</v>
      </c>
      <c r="F17" s="16" t="n">
        <v>250794.32</v>
      </c>
      <c r="G17" s="15" t="n">
        <v>3478.089999999997</v>
      </c>
      <c r="H17" s="17" t="n">
        <v>0.0140633309831708</v>
      </c>
      <c r="I17" s="18" t="n">
        <v>33.8572332</v>
      </c>
      <c r="J17" s="18" t="n">
        <v>877.78012</v>
      </c>
      <c r="K17" s="15" t="n">
        <v>752</v>
      </c>
      <c r="L17" s="15" t="n">
        <v>12540</v>
      </c>
      <c r="M17" s="19" t="n">
        <v>3.52</v>
      </c>
      <c r="N17" s="19" t="n">
        <v>12.54</v>
      </c>
      <c r="O17" s="19" t="n">
        <v>10.16</v>
      </c>
      <c r="P17" s="20" t="n">
        <v>8.33</v>
      </c>
      <c r="Q17" s="32" t="inlineStr">
        <is>
          <t>LOW</t>
        </is>
      </c>
      <c r="R17" s="6" t="inlineStr">
        <is>
          <t>Baseline regular maintenance; decentralized localized civic upgrades</t>
        </is>
      </c>
    </row>
    <row r="18">
      <c r="A18" s="22" t="n">
        <v>14</v>
      </c>
      <c r="B18" s="22" t="n">
        <v>15</v>
      </c>
      <c r="C18" s="22" t="inlineStr">
        <is>
          <t>XV</t>
        </is>
      </c>
      <c r="D18" s="23" t="inlineStr">
        <is>
          <t>Sholinganallur</t>
        </is>
      </c>
      <c r="E18" s="24" t="n">
        <v>175326.87</v>
      </c>
      <c r="F18" s="25" t="n">
        <v>177784.84</v>
      </c>
      <c r="G18" s="24" t="n">
        <v>2457.970000000001</v>
      </c>
      <c r="H18" s="26" t="n">
        <v>0.01401935710139582</v>
      </c>
      <c r="I18" s="27" t="n">
        <v>24.0009534</v>
      </c>
      <c r="J18" s="27" t="n">
        <v>622.24694</v>
      </c>
      <c r="K18" s="24" t="n">
        <v>533</v>
      </c>
      <c r="L18" s="24" t="n">
        <v>8889</v>
      </c>
      <c r="M18" s="28" t="n">
        <v>3.5</v>
      </c>
      <c r="N18" s="28" t="n">
        <v>8.890000000000001</v>
      </c>
      <c r="O18" s="28" t="n">
        <v>7.2</v>
      </c>
      <c r="P18" s="29" t="n">
        <v>6.31</v>
      </c>
      <c r="Q18" s="32" t="inlineStr">
        <is>
          <t>LOW</t>
        </is>
      </c>
      <c r="R18" s="30" t="inlineStr">
        <is>
          <t>Baseline regular maintenance; decentralized localized civic upgrades</t>
        </is>
      </c>
    </row>
    <row r="19">
      <c r="A19" s="14" t="n">
        <v>15</v>
      </c>
      <c r="B19" s="14" t="n">
        <v>2</v>
      </c>
      <c r="C19" s="14" t="inlineStr">
        <is>
          <t>II</t>
        </is>
      </c>
      <c r="D19" s="5" t="inlineStr">
        <is>
          <t>Manali</t>
        </is>
      </c>
      <c r="E19" s="15" t="n">
        <v>134343.55</v>
      </c>
      <c r="F19" s="16" t="n">
        <v>136260.59</v>
      </c>
      <c r="G19" s="15" t="n">
        <v>1917.040000000008</v>
      </c>
      <c r="H19" s="17" t="n">
        <v>0.01426968395579846</v>
      </c>
      <c r="I19" s="18" t="n">
        <v>18.39517965</v>
      </c>
      <c r="J19" s="18" t="n">
        <v>476.912065</v>
      </c>
      <c r="K19" s="15" t="n">
        <v>409</v>
      </c>
      <c r="L19" s="15" t="n">
        <v>6813</v>
      </c>
      <c r="M19" s="19" t="n">
        <v>3.57</v>
      </c>
      <c r="N19" s="19" t="n">
        <v>6.81</v>
      </c>
      <c r="O19" s="19" t="n">
        <v>5.52</v>
      </c>
      <c r="P19" s="20" t="n">
        <v>5.19</v>
      </c>
      <c r="Q19" s="32" t="inlineStr">
        <is>
          <t>LOW</t>
        </is>
      </c>
      <c r="R19" s="6" t="inlineStr">
        <is>
          <t>Baseline regular maintenance; decentralized localized civic upgrades</t>
        </is>
      </c>
    </row>
    <row r="20">
      <c r="A20" s="33" t="inlineStr">
        <is>
          <t>TOTAL</t>
        </is>
      </c>
      <c r="B20" s="33" t="inlineStr">
        <is>
          <t>-</t>
        </is>
      </c>
      <c r="C20" s="33" t="inlineStr">
        <is>
          <t>GCC</t>
        </is>
      </c>
      <c r="D20" s="33" t="inlineStr">
        <is>
          <t>Greater Chennai Corporation (15 Zones Sum / Avg)</t>
        </is>
      </c>
      <c r="E20" s="34">
        <f>SUM(E5:E19)</f>
        <v/>
      </c>
      <c r="F20" s="34">
        <f>SUM(F5:F19)</f>
        <v/>
      </c>
      <c r="G20" s="34">
        <f>SUM(G5:G19)</f>
        <v/>
      </c>
      <c r="H20" s="35">
        <f>AVERAGE(H5:H19)</f>
        <v/>
      </c>
      <c r="I20" s="36">
        <f>SUM(I5:I19)</f>
        <v/>
      </c>
      <c r="J20" s="36">
        <f>SUM(J5:J19)</f>
        <v/>
      </c>
      <c r="K20" s="34">
        <f>SUM(K5:K19)</f>
        <v/>
      </c>
      <c r="L20" s="34">
        <f>SUM(L5:L19)</f>
        <v/>
      </c>
      <c r="M20" s="37">
        <f>AVERAGE(M5:M19)</f>
        <v/>
      </c>
      <c r="N20" s="37">
        <f>AVERAGE(N5:N19)</f>
        <v/>
      </c>
      <c r="O20" s="37">
        <f>AVERAGE(O5:O19)</f>
        <v/>
      </c>
      <c r="P20" s="37">
        <f>AVERAGE(P5:P19)</f>
        <v/>
      </c>
      <c r="Q20" s="33" t="inlineStr">
        <is>
          <t>OVERALL</t>
        </is>
      </c>
      <c r="R20" s="33" t="inlineStr">
        <is>
          <t>Comprehensive Municipal Master Plan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4"/>
  <sheetViews>
    <sheetView showGridLines="1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20" customWidth="1" min="3" max="3"/>
    <col width="11" customWidth="1" min="4" max="4"/>
    <col width="22" customWidth="1" min="5" max="5"/>
    <col width="23" customWidth="1" min="6" max="6"/>
    <col width="24" customWidth="1" min="7" max="7"/>
    <col width="22" customWidth="1" min="8" max="8"/>
    <col width="31" customWidth="1" min="9" max="9"/>
    <col width="43" customWidth="1" min="10" max="10"/>
    <col width="27" customWidth="1" min="11" max="11"/>
    <col width="33" customWidth="1" min="12" max="12"/>
    <col width="25" customWidth="1" min="13" max="13"/>
    <col width="24" customWidth="1" min="14" max="14"/>
  </cols>
  <sheetData>
    <row r="1">
      <c r="A1" s="1" t="inlineStr">
        <is>
          <t>COMPLETE MULTI-TEMPORAL TIMELINE RECORDS: ALL 15 CHENNAI ZONES (2015–2030)</t>
        </is>
      </c>
    </row>
    <row r="2">
      <c r="A2" s="2" t="inlineStr">
        <is>
          <t>Includes Historical Ground Truth (2015–2026) and Hybrid ML Model Predictions (2027–2030)</t>
        </is>
      </c>
    </row>
    <row r="3"/>
    <row r="4" ht="26" customHeight="1">
      <c r="A4" s="38" t="inlineStr">
        <is>
          <t>Zone ID</t>
        </is>
      </c>
      <c r="B4" s="38" t="inlineStr">
        <is>
          <t>Zone Code</t>
        </is>
      </c>
      <c r="C4" s="38" t="inlineStr">
        <is>
          <t>Zone Name</t>
        </is>
      </c>
      <c r="D4" s="38" t="inlineStr">
        <is>
          <t>Year</t>
        </is>
      </c>
      <c r="E4" s="38" t="inlineStr">
        <is>
          <t>Data Period</t>
        </is>
      </c>
      <c r="F4" s="38" t="inlineStr">
        <is>
          <t>Population (Persons)</t>
        </is>
      </c>
      <c r="G4" s="38" t="inlineStr">
        <is>
          <t>Built-Up Surface (m²)</t>
        </is>
      </c>
      <c r="H4" s="38" t="inlineStr">
        <is>
          <t>Built-Up Area (km²)</t>
        </is>
      </c>
      <c r="I4" s="38" t="inlineStr">
        <is>
          <t>Night-Light Radiance (VIIRS)</t>
        </is>
      </c>
      <c r="J4" s="38" t="inlineStr">
        <is>
          <t>Built-Up Provenance</t>
        </is>
      </c>
      <c r="K4" s="38" t="inlineStr">
        <is>
          <t>Daily Water Demand (MLD)</t>
        </is>
      </c>
      <c r="L4" s="38" t="inlineStr">
        <is>
          <t>Daily Electricity Demand (MWh)</t>
        </is>
      </c>
      <c r="M4" s="38" t="inlineStr">
        <is>
          <t>Hospital Beds Required</t>
        </is>
      </c>
      <c r="N4" s="38" t="inlineStr">
        <is>
          <t>School Seats Required</t>
        </is>
      </c>
    </row>
    <row r="5">
      <c r="A5" s="39" t="n">
        <v>1</v>
      </c>
      <c r="B5" s="39" t="inlineStr">
        <is>
          <t>I</t>
        </is>
      </c>
      <c r="C5" s="40" t="inlineStr">
        <is>
          <t>Thiruvottiyur</t>
        </is>
      </c>
      <c r="D5" s="39" t="n">
        <v>2015</v>
      </c>
      <c r="E5" s="39" t="inlineStr">
        <is>
          <t>Historical Observed</t>
        </is>
      </c>
      <c r="F5" s="41" t="n">
        <v>339180.58</v>
      </c>
      <c r="G5" s="41" t="n">
        <v>5794201.592156863</v>
      </c>
      <c r="H5" s="42" t="n">
        <v>5.794201592156863</v>
      </c>
      <c r="I5" s="42" t="n">
        <v>41.31028267570358</v>
      </c>
      <c r="J5" s="40" t="inlineStr">
        <is>
          <t>Observed GHSL epoch</t>
        </is>
      </c>
      <c r="K5" s="42" t="n">
        <v>45.7893783</v>
      </c>
      <c r="L5" s="42" t="n">
        <v>1187.13203</v>
      </c>
      <c r="M5" s="41" t="n">
        <v>1018</v>
      </c>
      <c r="N5" s="41" t="n">
        <v>16959</v>
      </c>
    </row>
    <row r="6">
      <c r="A6" s="43" t="n">
        <v>1</v>
      </c>
      <c r="B6" s="43" t="inlineStr">
        <is>
          <t>I</t>
        </is>
      </c>
      <c r="C6" s="44" t="inlineStr">
        <is>
          <t>Thiruvottiyur</t>
        </is>
      </c>
      <c r="D6" s="43" t="n">
        <v>2016</v>
      </c>
      <c r="E6" s="43" t="inlineStr">
        <is>
          <t>Historical Observed</t>
        </is>
      </c>
      <c r="F6" s="45" t="n">
        <v>341180.46</v>
      </c>
      <c r="G6" s="45" t="n">
        <v>5810101.141960785</v>
      </c>
      <c r="H6" s="46" t="n">
        <v>5.810101141960785</v>
      </c>
      <c r="I6" s="46" t="n">
        <v>48.94432517747504</v>
      </c>
      <c r="J6" s="44" t="inlineStr">
        <is>
          <t>Linear interpolation between GHSL epochs</t>
        </is>
      </c>
      <c r="K6" s="46" t="n">
        <v>46.0593621</v>
      </c>
      <c r="L6" s="46" t="n">
        <v>1194.13161</v>
      </c>
      <c r="M6" s="45" t="n">
        <v>1024</v>
      </c>
      <c r="N6" s="45" t="n">
        <v>17059</v>
      </c>
    </row>
    <row r="7">
      <c r="A7" s="39" t="n">
        <v>1</v>
      </c>
      <c r="B7" s="39" t="inlineStr">
        <is>
          <t>I</t>
        </is>
      </c>
      <c r="C7" s="40" t="inlineStr">
        <is>
          <t>Thiruvottiyur</t>
        </is>
      </c>
      <c r="D7" s="39" t="n">
        <v>2017</v>
      </c>
      <c r="E7" s="39" t="inlineStr">
        <is>
          <t>Historical Observed</t>
        </is>
      </c>
      <c r="F7" s="41" t="n">
        <v>343165.75</v>
      </c>
      <c r="G7" s="41" t="n">
        <v>5826000.691764706</v>
      </c>
      <c r="H7" s="42" t="n">
        <v>5.826000691764706</v>
      </c>
      <c r="I7" s="42" t="n">
        <v>47.76107531353588</v>
      </c>
      <c r="J7" s="40" t="inlineStr">
        <is>
          <t>Linear interpolation between GHSL epochs</t>
        </is>
      </c>
      <c r="K7" s="42" t="n">
        <v>46.32737625</v>
      </c>
      <c r="L7" s="42" t="n">
        <v>1201.080125</v>
      </c>
      <c r="M7" s="41" t="n">
        <v>1029</v>
      </c>
      <c r="N7" s="41" t="n">
        <v>17158</v>
      </c>
    </row>
    <row r="8">
      <c r="A8" s="43" t="n">
        <v>1</v>
      </c>
      <c r="B8" s="43" t="inlineStr">
        <is>
          <t>I</t>
        </is>
      </c>
      <c r="C8" s="44" t="inlineStr">
        <is>
          <t>Thiruvottiyur</t>
        </is>
      </c>
      <c r="D8" s="43" t="n">
        <v>2018</v>
      </c>
      <c r="E8" s="43" t="inlineStr">
        <is>
          <t>Historical Observed</t>
        </is>
      </c>
      <c r="F8" s="45" t="n">
        <v>344943.71</v>
      </c>
      <c r="G8" s="45" t="n">
        <v>5841900.241568628</v>
      </c>
      <c r="H8" s="46" t="n">
        <v>5.841900241568628</v>
      </c>
      <c r="I8" s="46" t="n">
        <v>59.88067887619055</v>
      </c>
      <c r="J8" s="44" t="inlineStr">
        <is>
          <t>Linear interpolation between GHSL epochs</t>
        </is>
      </c>
      <c r="K8" s="46" t="n">
        <v>46.56740085</v>
      </c>
      <c r="L8" s="46" t="n">
        <v>1207.302985</v>
      </c>
      <c r="M8" s="45" t="n">
        <v>1035</v>
      </c>
      <c r="N8" s="45" t="n">
        <v>17247</v>
      </c>
    </row>
    <row r="9">
      <c r="A9" s="39" t="n">
        <v>1</v>
      </c>
      <c r="B9" s="39" t="inlineStr">
        <is>
          <t>I</t>
        </is>
      </c>
      <c r="C9" s="40" t="inlineStr">
        <is>
          <t>Thiruvottiyur</t>
        </is>
      </c>
      <c r="D9" s="39" t="n">
        <v>2019</v>
      </c>
      <c r="E9" s="39" t="inlineStr">
        <is>
          <t>Historical Observed</t>
        </is>
      </c>
      <c r="F9" s="41" t="n">
        <v>346692.92</v>
      </c>
      <c r="G9" s="41" t="n">
        <v>5857799.791372549</v>
      </c>
      <c r="H9" s="42" t="n">
        <v>5.857799791372549</v>
      </c>
      <c r="I9" s="42" t="n">
        <v>49.01745782123312</v>
      </c>
      <c r="J9" s="40" t="inlineStr">
        <is>
          <t>Linear interpolation between GHSL epochs</t>
        </is>
      </c>
      <c r="K9" s="42" t="n">
        <v>46.8035442</v>
      </c>
      <c r="L9" s="42" t="n">
        <v>1213.42522</v>
      </c>
      <c r="M9" s="41" t="n">
        <v>1040</v>
      </c>
      <c r="N9" s="41" t="n">
        <v>17335</v>
      </c>
    </row>
    <row r="10">
      <c r="A10" s="43" t="n">
        <v>1</v>
      </c>
      <c r="B10" s="43" t="inlineStr">
        <is>
          <t>I</t>
        </is>
      </c>
      <c r="C10" s="44" t="inlineStr">
        <is>
          <t>Thiruvottiyur</t>
        </is>
      </c>
      <c r="D10" s="43" t="n">
        <v>2020</v>
      </c>
      <c r="E10" s="43" t="inlineStr">
        <is>
          <t>Historical Observed</t>
        </is>
      </c>
      <c r="F10" s="45" t="n">
        <v>348215.02</v>
      </c>
      <c r="G10" s="45" t="n">
        <v>5873699.341176471</v>
      </c>
      <c r="H10" s="46" t="n">
        <v>5.87369934117647</v>
      </c>
      <c r="I10" s="46" t="n">
        <v>41.10343841047504</v>
      </c>
      <c r="J10" s="44" t="inlineStr">
        <is>
          <t>Observed GHSL epoch</t>
        </is>
      </c>
      <c r="K10" s="46" t="n">
        <v>47.0090277</v>
      </c>
      <c r="L10" s="46" t="n">
        <v>1218.75257</v>
      </c>
      <c r="M10" s="45" t="n">
        <v>1045</v>
      </c>
      <c r="N10" s="45" t="n">
        <v>17411</v>
      </c>
    </row>
    <row r="11">
      <c r="A11" s="39" t="n">
        <v>1</v>
      </c>
      <c r="B11" s="39" t="inlineStr">
        <is>
          <t>I</t>
        </is>
      </c>
      <c r="C11" s="40" t="inlineStr">
        <is>
          <t>Thiruvottiyur</t>
        </is>
      </c>
      <c r="D11" s="39" t="n">
        <v>2021</v>
      </c>
      <c r="E11" s="39" t="inlineStr">
        <is>
          <t>Historical Observed</t>
        </is>
      </c>
      <c r="F11" s="41" t="n">
        <v>349673</v>
      </c>
      <c r="G11" s="41" t="n">
        <v>5891449.00627451</v>
      </c>
      <c r="H11" s="42" t="n">
        <v>5.89144900627451</v>
      </c>
      <c r="I11" s="42" t="n">
        <v>40.4524582073467</v>
      </c>
      <c r="J11" s="40" t="inlineStr">
        <is>
          <t>Linear interpolation between GHSL epochs</t>
        </is>
      </c>
      <c r="K11" s="42" t="n">
        <v>47.205855</v>
      </c>
      <c r="L11" s="42" t="n">
        <v>1223.8555</v>
      </c>
      <c r="M11" s="41" t="n">
        <v>1049</v>
      </c>
      <c r="N11" s="41" t="n">
        <v>17484</v>
      </c>
    </row>
    <row r="12">
      <c r="A12" s="43" t="n">
        <v>1</v>
      </c>
      <c r="B12" s="43" t="inlineStr">
        <is>
          <t>I</t>
        </is>
      </c>
      <c r="C12" s="44" t="inlineStr">
        <is>
          <t>Thiruvottiyur</t>
        </is>
      </c>
      <c r="D12" s="43" t="n">
        <v>2022</v>
      </c>
      <c r="E12" s="43" t="inlineStr">
        <is>
          <t>Historical Observed</t>
        </is>
      </c>
      <c r="F12" s="45" t="n">
        <v>350728.19</v>
      </c>
      <c r="G12" s="45" t="n">
        <v>5909198.67137255</v>
      </c>
      <c r="H12" s="46" t="n">
        <v>5.90919867137255</v>
      </c>
      <c r="I12" s="46" t="n">
        <v>44.87864039635532</v>
      </c>
      <c r="J12" s="44" t="inlineStr">
        <is>
          <t>Linear interpolation between GHSL epochs</t>
        </is>
      </c>
      <c r="K12" s="46" t="n">
        <v>47.34830565</v>
      </c>
      <c r="L12" s="46" t="n">
        <v>1227.548665</v>
      </c>
      <c r="M12" s="45" t="n">
        <v>1052</v>
      </c>
      <c r="N12" s="45" t="n">
        <v>17536</v>
      </c>
    </row>
    <row r="13">
      <c r="A13" s="39" t="n">
        <v>1</v>
      </c>
      <c r="B13" s="39" t="inlineStr">
        <is>
          <t>I</t>
        </is>
      </c>
      <c r="C13" s="40" t="inlineStr">
        <is>
          <t>Thiruvottiyur</t>
        </is>
      </c>
      <c r="D13" s="39" t="n">
        <v>2023</v>
      </c>
      <c r="E13" s="39" t="inlineStr">
        <is>
          <t>Historical Observed</t>
        </is>
      </c>
      <c r="F13" s="41" t="n">
        <v>352058.31</v>
      </c>
      <c r="G13" s="41" t="n">
        <v>5926948.336470588</v>
      </c>
      <c r="H13" s="42" t="n">
        <v>5.926948336470588</v>
      </c>
      <c r="I13" s="42" t="n">
        <v>51.07871472289151</v>
      </c>
      <c r="J13" s="40" t="inlineStr">
        <is>
          <t>Linear interpolation between GHSL epochs</t>
        </is>
      </c>
      <c r="K13" s="42" t="n">
        <v>47.52787185</v>
      </c>
      <c r="L13" s="42" t="n">
        <v>1232.204085</v>
      </c>
      <c r="M13" s="41" t="n">
        <v>1056</v>
      </c>
      <c r="N13" s="41" t="n">
        <v>17603</v>
      </c>
    </row>
    <row r="14">
      <c r="A14" s="43" t="n">
        <v>1</v>
      </c>
      <c r="B14" s="43" t="inlineStr">
        <is>
          <t>I</t>
        </is>
      </c>
      <c r="C14" s="44" t="inlineStr">
        <is>
          <t>Thiruvottiyur</t>
        </is>
      </c>
      <c r="D14" s="43" t="n">
        <v>2024</v>
      </c>
      <c r="E14" s="43" t="inlineStr">
        <is>
          <t>Historical Observed</t>
        </is>
      </c>
      <c r="F14" s="45" t="n">
        <v>353339.16</v>
      </c>
      <c r="G14" s="45" t="n">
        <v>5944698.001568628</v>
      </c>
      <c r="H14" s="46" t="n">
        <v>5.944698001568628</v>
      </c>
      <c r="I14" s="46" t="n">
        <v>51.66184748147334</v>
      </c>
      <c r="J14" s="44" t="inlineStr">
        <is>
          <t>Linear interpolation between GHSL epochs</t>
        </is>
      </c>
      <c r="K14" s="46" t="n">
        <v>47.70078659999999</v>
      </c>
      <c r="L14" s="46" t="n">
        <v>1236.68706</v>
      </c>
      <c r="M14" s="45" t="n">
        <v>1060</v>
      </c>
      <c r="N14" s="45" t="n">
        <v>17667</v>
      </c>
    </row>
    <row r="15">
      <c r="A15" s="39" t="n">
        <v>1</v>
      </c>
      <c r="B15" s="39" t="inlineStr">
        <is>
          <t>I</t>
        </is>
      </c>
      <c r="C15" s="40" t="inlineStr">
        <is>
          <t>Thiruvottiyur</t>
        </is>
      </c>
      <c r="D15" s="39" t="n">
        <v>2025</v>
      </c>
      <c r="E15" s="39" t="inlineStr">
        <is>
          <t>Historical Observed</t>
        </is>
      </c>
      <c r="F15" s="41" t="n">
        <v>354634.8</v>
      </c>
      <c r="G15" s="41" t="n">
        <v>5962447.666666667</v>
      </c>
      <c r="H15" s="42" t="n">
        <v>5.962447666666667</v>
      </c>
      <c r="I15" s="42" t="n">
        <v>50.31125610902204</v>
      </c>
      <c r="J15" s="40" t="inlineStr">
        <is>
          <t>Observed GHSL epoch</t>
        </is>
      </c>
      <c r="K15" s="42" t="n">
        <v>47.875698</v>
      </c>
      <c r="L15" s="42" t="n">
        <v>1241.2218</v>
      </c>
      <c r="M15" s="41" t="n">
        <v>1064</v>
      </c>
      <c r="N15" s="41" t="n">
        <v>17732</v>
      </c>
    </row>
    <row r="16">
      <c r="A16" s="43" t="n">
        <v>1</v>
      </c>
      <c r="B16" s="43" t="inlineStr">
        <is>
          <t>I</t>
        </is>
      </c>
      <c r="C16" s="44" t="inlineStr">
        <is>
          <t>Thiruvottiyur</t>
        </is>
      </c>
      <c r="D16" s="43" t="n">
        <v>2026</v>
      </c>
      <c r="E16" s="43" t="inlineStr">
        <is>
          <t>Historical Observed</t>
        </is>
      </c>
      <c r="F16" s="45" t="n">
        <v>355933.9</v>
      </c>
      <c r="G16" s="45" t="n">
        <v>5969124.804705882</v>
      </c>
      <c r="H16" s="46" t="n">
        <v>5.969124804705882</v>
      </c>
      <c r="I16" s="46" t="n">
        <v>50.4295842136105</v>
      </c>
      <c r="J16" s="44" t="inlineStr">
        <is>
          <t>Linear interpolation between GHSL epochs</t>
        </is>
      </c>
      <c r="K16" s="46" t="n">
        <v>48.0510765</v>
      </c>
      <c r="L16" s="46" t="n">
        <v>1245.76865</v>
      </c>
      <c r="M16" s="45" t="n">
        <v>1068</v>
      </c>
      <c r="N16" s="45" t="n">
        <v>17797</v>
      </c>
    </row>
    <row r="17">
      <c r="A17" s="47" t="n">
        <v>1</v>
      </c>
      <c r="B17" s="47" t="inlineStr">
        <is>
          <t>I</t>
        </is>
      </c>
      <c r="C17" s="48" t="inlineStr">
        <is>
          <t>Thiruvottiyur</t>
        </is>
      </c>
      <c r="D17" s="47" t="n">
        <v>2027</v>
      </c>
      <c r="E17" s="49" t="inlineStr">
        <is>
          <t>Hybrid ML Forecast</t>
        </is>
      </c>
      <c r="F17" s="50" t="n">
        <v>357145.34</v>
      </c>
      <c r="G17" s="50" t="n">
        <v>5975801.942745098</v>
      </c>
      <c r="H17" s="51" t="n">
        <v>5.975801942745098</v>
      </c>
      <c r="I17" s="52" t="n">
        <v>0</v>
      </c>
      <c r="J17" s="48" t="inlineStr">
        <is>
          <t>Linear interpolation between GHSL epochs</t>
        </is>
      </c>
      <c r="K17" s="51" t="n">
        <v>48.21462090000001</v>
      </c>
      <c r="L17" s="51" t="n">
        <v>1250.00869</v>
      </c>
      <c r="M17" s="50" t="n">
        <v>1071</v>
      </c>
      <c r="N17" s="50" t="n">
        <v>17857</v>
      </c>
    </row>
    <row r="18">
      <c r="A18" s="47" t="n">
        <v>1</v>
      </c>
      <c r="B18" s="47" t="inlineStr">
        <is>
          <t>I</t>
        </is>
      </c>
      <c r="C18" s="48" t="inlineStr">
        <is>
          <t>Thiruvottiyur</t>
        </is>
      </c>
      <c r="D18" s="47" t="n">
        <v>2028</v>
      </c>
      <c r="E18" s="49" t="inlineStr">
        <is>
          <t>Hybrid ML Forecast</t>
        </is>
      </c>
      <c r="F18" s="50" t="n">
        <v>358367.37</v>
      </c>
      <c r="G18" s="50" t="n">
        <v>5982479.080784314</v>
      </c>
      <c r="H18" s="51" t="n">
        <v>5.982479080784314</v>
      </c>
      <c r="I18" s="52" t="n">
        <v>0</v>
      </c>
      <c r="J18" s="48" t="inlineStr">
        <is>
          <t>Linear interpolation between GHSL epochs</t>
        </is>
      </c>
      <c r="K18" s="51" t="n">
        <v>48.37959495</v>
      </c>
      <c r="L18" s="51" t="n">
        <v>1254.285795</v>
      </c>
      <c r="M18" s="50" t="n">
        <v>1075</v>
      </c>
      <c r="N18" s="50" t="n">
        <v>17918</v>
      </c>
    </row>
    <row r="19">
      <c r="A19" s="47" t="n">
        <v>1</v>
      </c>
      <c r="B19" s="47" t="inlineStr">
        <is>
          <t>I</t>
        </is>
      </c>
      <c r="C19" s="48" t="inlineStr">
        <is>
          <t>Thiruvottiyur</t>
        </is>
      </c>
      <c r="D19" s="47" t="n">
        <v>2029</v>
      </c>
      <c r="E19" s="49" t="inlineStr">
        <is>
          <t>Hybrid ML Forecast</t>
        </is>
      </c>
      <c r="F19" s="50" t="n">
        <v>359547.71</v>
      </c>
      <c r="G19" s="50" t="n">
        <v>5989156.21882353</v>
      </c>
      <c r="H19" s="51" t="n">
        <v>5.989156218823529</v>
      </c>
      <c r="I19" s="52" t="n">
        <v>0</v>
      </c>
      <c r="J19" s="48" t="inlineStr">
        <is>
          <t>Linear interpolation between GHSL epochs</t>
        </is>
      </c>
      <c r="K19" s="51" t="n">
        <v>48.53894085</v>
      </c>
      <c r="L19" s="51" t="n">
        <v>1258.416985</v>
      </c>
      <c r="M19" s="50" t="n">
        <v>1079</v>
      </c>
      <c r="N19" s="50" t="n">
        <v>17977</v>
      </c>
    </row>
    <row r="20">
      <c r="A20" s="47" t="n">
        <v>1</v>
      </c>
      <c r="B20" s="47" t="inlineStr">
        <is>
          <t>I</t>
        </is>
      </c>
      <c r="C20" s="48" t="inlineStr">
        <is>
          <t>Thiruvottiyur</t>
        </is>
      </c>
      <c r="D20" s="47" t="n">
        <v>2030</v>
      </c>
      <c r="E20" s="49" t="inlineStr">
        <is>
          <t>Hybrid ML Forecast</t>
        </is>
      </c>
      <c r="F20" s="50" t="n">
        <v>360710.59</v>
      </c>
      <c r="G20" s="50" t="n">
        <v>5995833.356862745</v>
      </c>
      <c r="H20" s="51" t="n">
        <v>5.995833356862745</v>
      </c>
      <c r="I20" s="52" t="n">
        <v>0</v>
      </c>
      <c r="J20" s="48" t="inlineStr">
        <is>
          <t>Observed GHSL epoch</t>
        </is>
      </c>
      <c r="K20" s="51" t="n">
        <v>48.69592965</v>
      </c>
      <c r="L20" s="51" t="n">
        <v>1262.487065</v>
      </c>
      <c r="M20" s="50" t="n">
        <v>1082</v>
      </c>
      <c r="N20" s="50" t="n">
        <v>18036</v>
      </c>
    </row>
    <row r="21">
      <c r="A21" s="39" t="n">
        <v>2</v>
      </c>
      <c r="B21" s="39" t="inlineStr">
        <is>
          <t>II</t>
        </is>
      </c>
      <c r="C21" s="40" t="inlineStr">
        <is>
          <t>Manali</t>
        </is>
      </c>
      <c r="D21" s="39" t="n">
        <v>2015</v>
      </c>
      <c r="E21" s="39" t="inlineStr">
        <is>
          <t>Historical Observed</t>
        </is>
      </c>
      <c r="F21" s="41" t="n">
        <v>127964.26</v>
      </c>
      <c r="G21" s="41" t="n">
        <v>4389446.721568628</v>
      </c>
      <c r="H21" s="42" t="n">
        <v>4.389446721568628</v>
      </c>
      <c r="I21" s="42" t="n">
        <v>25.31255523607397</v>
      </c>
      <c r="J21" s="40" t="inlineStr">
        <is>
          <t>Observed GHSL epoch</t>
        </is>
      </c>
      <c r="K21" s="42" t="n">
        <v>17.2751751</v>
      </c>
      <c r="L21" s="42" t="n">
        <v>447.87491</v>
      </c>
      <c r="M21" s="41" t="n">
        <v>384</v>
      </c>
      <c r="N21" s="41" t="n">
        <v>6398</v>
      </c>
    </row>
    <row r="22">
      <c r="A22" s="43" t="n">
        <v>2</v>
      </c>
      <c r="B22" s="43" t="inlineStr">
        <is>
          <t>II</t>
        </is>
      </c>
      <c r="C22" s="44" t="inlineStr">
        <is>
          <t>Manali</t>
        </is>
      </c>
      <c r="D22" s="43" t="n">
        <v>2016</v>
      </c>
      <c r="E22" s="43" t="inlineStr">
        <is>
          <t>Historical Observed</t>
        </is>
      </c>
      <c r="F22" s="45" t="n">
        <v>128687.75</v>
      </c>
      <c r="G22" s="45" t="n">
        <v>4441731.449411766</v>
      </c>
      <c r="H22" s="46" t="n">
        <v>4.441731449411765</v>
      </c>
      <c r="I22" s="46" t="n">
        <v>21.37282242452958</v>
      </c>
      <c r="J22" s="44" t="inlineStr">
        <is>
          <t>Linear interpolation between GHSL epochs</t>
        </is>
      </c>
      <c r="K22" s="46" t="n">
        <v>17.37284625</v>
      </c>
      <c r="L22" s="46" t="n">
        <v>450.407125</v>
      </c>
      <c r="M22" s="45" t="n">
        <v>386</v>
      </c>
      <c r="N22" s="45" t="n">
        <v>6434</v>
      </c>
    </row>
    <row r="23">
      <c r="A23" s="39" t="n">
        <v>2</v>
      </c>
      <c r="B23" s="39" t="inlineStr">
        <is>
          <t>II</t>
        </is>
      </c>
      <c r="C23" s="40" t="inlineStr">
        <is>
          <t>Manali</t>
        </is>
      </c>
      <c r="D23" s="39" t="n">
        <v>2017</v>
      </c>
      <c r="E23" s="39" t="inlineStr">
        <is>
          <t>Historical Observed</t>
        </is>
      </c>
      <c r="F23" s="41" t="n">
        <v>129419.57</v>
      </c>
      <c r="G23" s="41" t="n">
        <v>4494016.177254903</v>
      </c>
      <c r="H23" s="42" t="n">
        <v>4.494016177254903</v>
      </c>
      <c r="I23" s="42" t="n">
        <v>22.78597900691591</v>
      </c>
      <c r="J23" s="40" t="inlineStr">
        <is>
          <t>Linear interpolation between GHSL epochs</t>
        </is>
      </c>
      <c r="K23" s="42" t="n">
        <v>17.47164195</v>
      </c>
      <c r="L23" s="42" t="n">
        <v>452.968495</v>
      </c>
      <c r="M23" s="41" t="n">
        <v>388</v>
      </c>
      <c r="N23" s="41" t="n">
        <v>6471</v>
      </c>
    </row>
    <row r="24">
      <c r="A24" s="43" t="n">
        <v>2</v>
      </c>
      <c r="B24" s="43" t="inlineStr">
        <is>
          <t>II</t>
        </is>
      </c>
      <c r="C24" s="44" t="inlineStr">
        <is>
          <t>Manali</t>
        </is>
      </c>
      <c r="D24" s="43" t="n">
        <v>2018</v>
      </c>
      <c r="E24" s="43" t="inlineStr">
        <is>
          <t>Historical Observed</t>
        </is>
      </c>
      <c r="F24" s="45" t="n">
        <v>130076.22</v>
      </c>
      <c r="G24" s="45" t="n">
        <v>4546300.90509804</v>
      </c>
      <c r="H24" s="46" t="n">
        <v>4.54630090509804</v>
      </c>
      <c r="I24" s="46" t="n">
        <v>28.44597537238431</v>
      </c>
      <c r="J24" s="44" t="inlineStr">
        <is>
          <t>Linear interpolation between GHSL epochs</t>
        </is>
      </c>
      <c r="K24" s="46" t="n">
        <v>17.5602897</v>
      </c>
      <c r="L24" s="46" t="n">
        <v>455.26677</v>
      </c>
      <c r="M24" s="45" t="n">
        <v>390</v>
      </c>
      <c r="N24" s="45" t="n">
        <v>6504</v>
      </c>
    </row>
    <row r="25">
      <c r="A25" s="39" t="n">
        <v>2</v>
      </c>
      <c r="B25" s="39" t="inlineStr">
        <is>
          <t>II</t>
        </is>
      </c>
      <c r="C25" s="40" t="inlineStr">
        <is>
          <t>Manali</t>
        </is>
      </c>
      <c r="D25" s="39" t="n">
        <v>2019</v>
      </c>
      <c r="E25" s="39" t="inlineStr">
        <is>
          <t>Historical Observed</t>
        </is>
      </c>
      <c r="F25" s="41" t="n">
        <v>130724.77</v>
      </c>
      <c r="G25" s="41" t="n">
        <v>4598585.632941177</v>
      </c>
      <c r="H25" s="42" t="n">
        <v>4.598585632941177</v>
      </c>
      <c r="I25" s="42" t="n">
        <v>26.14304383682476</v>
      </c>
      <c r="J25" s="40" t="inlineStr">
        <is>
          <t>Linear interpolation between GHSL epochs</t>
        </is>
      </c>
      <c r="K25" s="42" t="n">
        <v>17.64784395</v>
      </c>
      <c r="L25" s="42" t="n">
        <v>457.536695</v>
      </c>
      <c r="M25" s="41" t="n">
        <v>392</v>
      </c>
      <c r="N25" s="41" t="n">
        <v>6536</v>
      </c>
    </row>
    <row r="26">
      <c r="A26" s="43" t="n">
        <v>2</v>
      </c>
      <c r="B26" s="43" t="inlineStr">
        <is>
          <t>II</t>
        </is>
      </c>
      <c r="C26" s="44" t="inlineStr">
        <is>
          <t>Manali</t>
        </is>
      </c>
      <c r="D26" s="43" t="n">
        <v>2020</v>
      </c>
      <c r="E26" s="43" t="inlineStr">
        <is>
          <t>Historical Observed</t>
        </is>
      </c>
      <c r="F26" s="45" t="n">
        <v>131309.56</v>
      </c>
      <c r="G26" s="45" t="n">
        <v>4650870.360784315</v>
      </c>
      <c r="H26" s="46" t="n">
        <v>4.650870360784315</v>
      </c>
      <c r="I26" s="46" t="n">
        <v>23.09264321440369</v>
      </c>
      <c r="J26" s="44" t="inlineStr">
        <is>
          <t>Observed GHSL epoch</t>
        </is>
      </c>
      <c r="K26" s="46" t="n">
        <v>17.7267906</v>
      </c>
      <c r="L26" s="46" t="n">
        <v>459.5834599999999</v>
      </c>
      <c r="M26" s="45" t="n">
        <v>394</v>
      </c>
      <c r="N26" s="45" t="n">
        <v>6565</v>
      </c>
    </row>
    <row r="27">
      <c r="A27" s="39" t="n">
        <v>2</v>
      </c>
      <c r="B27" s="39" t="inlineStr">
        <is>
          <t>II</t>
        </is>
      </c>
      <c r="C27" s="40" t="inlineStr">
        <is>
          <t>Manali</t>
        </is>
      </c>
      <c r="D27" s="39" t="n">
        <v>2021</v>
      </c>
      <c r="E27" s="39" t="inlineStr">
        <is>
          <t>Historical Observed</t>
        </is>
      </c>
      <c r="F27" s="41" t="n">
        <v>131868</v>
      </c>
      <c r="G27" s="41" t="n">
        <v>4678739.081568629</v>
      </c>
      <c r="H27" s="42" t="n">
        <v>4.678739081568628</v>
      </c>
      <c r="I27" s="42" t="n">
        <v>23.10842681413851</v>
      </c>
      <c r="J27" s="40" t="inlineStr">
        <is>
          <t>Linear interpolation between GHSL epochs</t>
        </is>
      </c>
      <c r="K27" s="42" t="n">
        <v>17.80218</v>
      </c>
      <c r="L27" s="42" t="n">
        <v>461.538</v>
      </c>
      <c r="M27" s="41" t="n">
        <v>396</v>
      </c>
      <c r="N27" s="41" t="n">
        <v>6593</v>
      </c>
    </row>
    <row r="28">
      <c r="A28" s="43" t="n">
        <v>2</v>
      </c>
      <c r="B28" s="43" t="inlineStr">
        <is>
          <t>II</t>
        </is>
      </c>
      <c r="C28" s="44" t="inlineStr">
        <is>
          <t>Manali</t>
        </is>
      </c>
      <c r="D28" s="43" t="n">
        <v>2022</v>
      </c>
      <c r="E28" s="43" t="inlineStr">
        <is>
          <t>Historical Observed</t>
        </is>
      </c>
      <c r="F28" s="45" t="n">
        <v>132281.63</v>
      </c>
      <c r="G28" s="45" t="n">
        <v>4706607.802352942</v>
      </c>
      <c r="H28" s="46" t="n">
        <v>4.706607802352941</v>
      </c>
      <c r="I28" s="46" t="n">
        <v>27.54749759455526</v>
      </c>
      <c r="J28" s="44" t="inlineStr">
        <is>
          <t>Linear interpolation between GHSL epochs</t>
        </is>
      </c>
      <c r="K28" s="46" t="n">
        <v>17.85802005</v>
      </c>
      <c r="L28" s="46" t="n">
        <v>462.985705</v>
      </c>
      <c r="M28" s="45" t="n">
        <v>397</v>
      </c>
      <c r="N28" s="45" t="n">
        <v>6614</v>
      </c>
    </row>
    <row r="29">
      <c r="A29" s="39" t="n">
        <v>2</v>
      </c>
      <c r="B29" s="39" t="inlineStr">
        <is>
          <t>II</t>
        </is>
      </c>
      <c r="C29" s="40" t="inlineStr">
        <is>
          <t>Manali</t>
        </is>
      </c>
      <c r="D29" s="39" t="n">
        <v>2023</v>
      </c>
      <c r="E29" s="39" t="inlineStr">
        <is>
          <t>Historical Observed</t>
        </is>
      </c>
      <c r="F29" s="41" t="n">
        <v>132797.88</v>
      </c>
      <c r="G29" s="41" t="n">
        <v>4734476.523137256</v>
      </c>
      <c r="H29" s="42" t="n">
        <v>4.734476523137255</v>
      </c>
      <c r="I29" s="42" t="n">
        <v>33.03881899554359</v>
      </c>
      <c r="J29" s="40" t="inlineStr">
        <is>
          <t>Linear interpolation between GHSL epochs</t>
        </is>
      </c>
      <c r="K29" s="42" t="n">
        <v>17.9277138</v>
      </c>
      <c r="L29" s="42" t="n">
        <v>464.79258</v>
      </c>
      <c r="M29" s="41" t="n">
        <v>398</v>
      </c>
      <c r="N29" s="41" t="n">
        <v>6640</v>
      </c>
    </row>
    <row r="30">
      <c r="A30" s="43" t="n">
        <v>2</v>
      </c>
      <c r="B30" s="43" t="inlineStr">
        <is>
          <t>II</t>
        </is>
      </c>
      <c r="C30" s="44" t="inlineStr">
        <is>
          <t>Manali</t>
        </is>
      </c>
      <c r="D30" s="43" t="n">
        <v>2024</v>
      </c>
      <c r="E30" s="43" t="inlineStr">
        <is>
          <t>Historical Observed</t>
        </is>
      </c>
      <c r="F30" s="45" t="n">
        <v>133304.3</v>
      </c>
      <c r="G30" s="45" t="n">
        <v>4762345.243921569</v>
      </c>
      <c r="H30" s="46" t="n">
        <v>4.762345243921569</v>
      </c>
      <c r="I30" s="46" t="n">
        <v>34.48021819439273</v>
      </c>
      <c r="J30" s="44" t="inlineStr">
        <is>
          <t>Linear interpolation between GHSL epochs</t>
        </is>
      </c>
      <c r="K30" s="46" t="n">
        <v>17.9960805</v>
      </c>
      <c r="L30" s="46" t="n">
        <v>466.5650499999999</v>
      </c>
      <c r="M30" s="45" t="n">
        <v>400</v>
      </c>
      <c r="N30" s="45" t="n">
        <v>6665</v>
      </c>
    </row>
    <row r="31">
      <c r="A31" s="39" t="n">
        <v>2</v>
      </c>
      <c r="B31" s="39" t="inlineStr">
        <is>
          <t>II</t>
        </is>
      </c>
      <c r="C31" s="40" t="inlineStr">
        <is>
          <t>Manali</t>
        </is>
      </c>
      <c r="D31" s="39" t="n">
        <v>2025</v>
      </c>
      <c r="E31" s="39" t="inlineStr">
        <is>
          <t>Historical Observed</t>
        </is>
      </c>
      <c r="F31" s="41" t="n">
        <v>133826.38</v>
      </c>
      <c r="G31" s="41" t="n">
        <v>4790213.964705883</v>
      </c>
      <c r="H31" s="42" t="n">
        <v>4.790213964705883</v>
      </c>
      <c r="I31" s="42" t="n">
        <v>35.6404286049764</v>
      </c>
      <c r="J31" s="40" t="inlineStr">
        <is>
          <t>Observed GHSL epoch</t>
        </is>
      </c>
      <c r="K31" s="42" t="n">
        <v>18.0665613</v>
      </c>
      <c r="L31" s="42" t="n">
        <v>468.39233</v>
      </c>
      <c r="M31" s="41" t="n">
        <v>401</v>
      </c>
      <c r="N31" s="41" t="n">
        <v>6691</v>
      </c>
    </row>
    <row r="32">
      <c r="A32" s="43" t="n">
        <v>2</v>
      </c>
      <c r="B32" s="43" t="inlineStr">
        <is>
          <t>II</t>
        </is>
      </c>
      <c r="C32" s="44" t="inlineStr">
        <is>
          <t>Manali</t>
        </is>
      </c>
      <c r="D32" s="43" t="n">
        <v>2026</v>
      </c>
      <c r="E32" s="43" t="inlineStr">
        <is>
          <t>Historical Observed</t>
        </is>
      </c>
      <c r="F32" s="45" t="n">
        <v>134343.55</v>
      </c>
      <c r="G32" s="45" t="n">
        <v>4803428.78509804</v>
      </c>
      <c r="H32" s="46" t="n">
        <v>4.803428785098039</v>
      </c>
      <c r="I32" s="46" t="n">
        <v>35.60807720651976</v>
      </c>
      <c r="J32" s="44" t="inlineStr">
        <is>
          <t>Linear interpolation between GHSL epochs</t>
        </is>
      </c>
      <c r="K32" s="46" t="n">
        <v>18.13637925</v>
      </c>
      <c r="L32" s="46" t="n">
        <v>470.2024249999999</v>
      </c>
      <c r="M32" s="45" t="n">
        <v>403</v>
      </c>
      <c r="N32" s="45" t="n">
        <v>6717</v>
      </c>
    </row>
    <row r="33">
      <c r="A33" s="47" t="n">
        <v>2</v>
      </c>
      <c r="B33" s="47" t="inlineStr">
        <is>
          <t>II</t>
        </is>
      </c>
      <c r="C33" s="48" t="inlineStr">
        <is>
          <t>Manali</t>
        </is>
      </c>
      <c r="D33" s="47" t="n">
        <v>2027</v>
      </c>
      <c r="E33" s="49" t="inlineStr">
        <is>
          <t>Hybrid ML Forecast</t>
        </is>
      </c>
      <c r="F33" s="50" t="n">
        <v>134829.98</v>
      </c>
      <c r="G33" s="50" t="n">
        <v>4816643.605490196</v>
      </c>
      <c r="H33" s="51" t="n">
        <v>4.816643605490197</v>
      </c>
      <c r="I33" s="52" t="n">
        <v>0</v>
      </c>
      <c r="J33" s="48" t="inlineStr">
        <is>
          <t>Linear interpolation between GHSL epochs</t>
        </is>
      </c>
      <c r="K33" s="51" t="n">
        <v>18.2020473</v>
      </c>
      <c r="L33" s="51" t="n">
        <v>471.90493</v>
      </c>
      <c r="M33" s="50" t="n">
        <v>404</v>
      </c>
      <c r="N33" s="50" t="n">
        <v>6741</v>
      </c>
    </row>
    <row r="34">
      <c r="A34" s="47" t="n">
        <v>2</v>
      </c>
      <c r="B34" s="47" t="inlineStr">
        <is>
          <t>II</t>
        </is>
      </c>
      <c r="C34" s="48" t="inlineStr">
        <is>
          <t>Manali</t>
        </is>
      </c>
      <c r="D34" s="47" t="n">
        <v>2028</v>
      </c>
      <c r="E34" s="49" t="inlineStr">
        <is>
          <t>Hybrid ML Forecast</t>
        </is>
      </c>
      <c r="F34" s="50" t="n">
        <v>135319.64</v>
      </c>
      <c r="G34" s="50" t="n">
        <v>4829858.425882354</v>
      </c>
      <c r="H34" s="51" t="n">
        <v>4.829858425882354</v>
      </c>
      <c r="I34" s="52" t="n">
        <v>0</v>
      </c>
      <c r="J34" s="48" t="inlineStr">
        <is>
          <t>Linear interpolation between GHSL epochs</t>
        </is>
      </c>
      <c r="K34" s="51" t="n">
        <v>18.2681514</v>
      </c>
      <c r="L34" s="51" t="n">
        <v>473.6187400000001</v>
      </c>
      <c r="M34" s="50" t="n">
        <v>406</v>
      </c>
      <c r="N34" s="50" t="n">
        <v>6766</v>
      </c>
    </row>
    <row r="35">
      <c r="A35" s="47" t="n">
        <v>2</v>
      </c>
      <c r="B35" s="47" t="inlineStr">
        <is>
          <t>II</t>
        </is>
      </c>
      <c r="C35" s="48" t="inlineStr">
        <is>
          <t>Manali</t>
        </is>
      </c>
      <c r="D35" s="47" t="n">
        <v>2029</v>
      </c>
      <c r="E35" s="49" t="inlineStr">
        <is>
          <t>Hybrid ML Forecast</t>
        </is>
      </c>
      <c r="F35" s="50" t="n">
        <v>135793.91</v>
      </c>
      <c r="G35" s="50" t="n">
        <v>4843073.246274511</v>
      </c>
      <c r="H35" s="51" t="n">
        <v>4.843073246274511</v>
      </c>
      <c r="I35" s="52" t="n">
        <v>0</v>
      </c>
      <c r="J35" s="48" t="inlineStr">
        <is>
          <t>Linear interpolation between GHSL epochs</t>
        </is>
      </c>
      <c r="K35" s="51" t="n">
        <v>18.33217785</v>
      </c>
      <c r="L35" s="51" t="n">
        <v>475.278685</v>
      </c>
      <c r="M35" s="50" t="n">
        <v>407</v>
      </c>
      <c r="N35" s="50" t="n">
        <v>6790</v>
      </c>
    </row>
    <row r="36">
      <c r="A36" s="47" t="n">
        <v>2</v>
      </c>
      <c r="B36" s="47" t="inlineStr">
        <is>
          <t>II</t>
        </is>
      </c>
      <c r="C36" s="48" t="inlineStr">
        <is>
          <t>Manali</t>
        </is>
      </c>
      <c r="D36" s="47" t="n">
        <v>2030</v>
      </c>
      <c r="E36" s="49" t="inlineStr">
        <is>
          <t>Hybrid ML Forecast</t>
        </is>
      </c>
      <c r="F36" s="50" t="n">
        <v>136260.59</v>
      </c>
      <c r="G36" s="50" t="n">
        <v>4856288.066666668</v>
      </c>
      <c r="H36" s="51" t="n">
        <v>4.856288066666668</v>
      </c>
      <c r="I36" s="52" t="n">
        <v>0</v>
      </c>
      <c r="J36" s="48" t="inlineStr">
        <is>
          <t>Observed GHSL epoch</t>
        </is>
      </c>
      <c r="K36" s="51" t="n">
        <v>18.39517965</v>
      </c>
      <c r="L36" s="51" t="n">
        <v>476.912065</v>
      </c>
      <c r="M36" s="50" t="n">
        <v>409</v>
      </c>
      <c r="N36" s="50" t="n">
        <v>6813</v>
      </c>
    </row>
    <row r="37">
      <c r="A37" s="39" t="n">
        <v>3</v>
      </c>
      <c r="B37" s="39" t="inlineStr">
        <is>
          <t>III</t>
        </is>
      </c>
      <c r="C37" s="40" t="inlineStr">
        <is>
          <t>Madhavaram</t>
        </is>
      </c>
      <c r="D37" s="39" t="n">
        <v>2015</v>
      </c>
      <c r="E37" s="39" t="inlineStr">
        <is>
          <t>Historical Observed</t>
        </is>
      </c>
      <c r="F37" s="41" t="n">
        <v>235335.61</v>
      </c>
      <c r="G37" s="41" t="n">
        <v>7612795.015686275</v>
      </c>
      <c r="H37" s="42" t="n">
        <v>7.612795015686276</v>
      </c>
      <c r="I37" s="42" t="n">
        <v>23.47053512066265</v>
      </c>
      <c r="J37" s="40" t="inlineStr">
        <is>
          <t>Observed GHSL epoch</t>
        </is>
      </c>
      <c r="K37" s="42" t="n">
        <v>31.77030735</v>
      </c>
      <c r="L37" s="42" t="n">
        <v>823.674635</v>
      </c>
      <c r="M37" s="41" t="n">
        <v>706</v>
      </c>
      <c r="N37" s="41" t="n">
        <v>11767</v>
      </c>
    </row>
    <row r="38">
      <c r="A38" s="43" t="n">
        <v>3</v>
      </c>
      <c r="B38" s="43" t="inlineStr">
        <is>
          <t>III</t>
        </is>
      </c>
      <c r="C38" s="44" t="inlineStr">
        <is>
          <t>Madhavaram</t>
        </is>
      </c>
      <c r="D38" s="43" t="n">
        <v>2016</v>
      </c>
      <c r="E38" s="43" t="inlineStr">
        <is>
          <t>Historical Observed</t>
        </is>
      </c>
      <c r="F38" s="45" t="n">
        <v>236702.74</v>
      </c>
      <c r="G38" s="45" t="n">
        <v>7668634.511372549</v>
      </c>
      <c r="H38" s="46" t="n">
        <v>7.66863451137255</v>
      </c>
      <c r="I38" s="46" t="n">
        <v>21.02912765019847</v>
      </c>
      <c r="J38" s="44" t="inlineStr">
        <is>
          <t>Linear interpolation between GHSL epochs</t>
        </is>
      </c>
      <c r="K38" s="46" t="n">
        <v>31.9548699</v>
      </c>
      <c r="L38" s="46" t="n">
        <v>828.4595899999999</v>
      </c>
      <c r="M38" s="45" t="n">
        <v>710</v>
      </c>
      <c r="N38" s="45" t="n">
        <v>11835</v>
      </c>
    </row>
    <row r="39">
      <c r="A39" s="39" t="n">
        <v>3</v>
      </c>
      <c r="B39" s="39" t="inlineStr">
        <is>
          <t>III</t>
        </is>
      </c>
      <c r="C39" s="40" t="inlineStr">
        <is>
          <t>Madhavaram</t>
        </is>
      </c>
      <c r="D39" s="39" t="n">
        <v>2017</v>
      </c>
      <c r="E39" s="39" t="inlineStr">
        <is>
          <t>Historical Observed</t>
        </is>
      </c>
      <c r="F39" s="41" t="n">
        <v>238093.62</v>
      </c>
      <c r="G39" s="41" t="n">
        <v>7724474.007058823</v>
      </c>
      <c r="H39" s="42" t="n">
        <v>7.724474007058824</v>
      </c>
      <c r="I39" s="42" t="n">
        <v>23.90433232251683</v>
      </c>
      <c r="J39" s="40" t="inlineStr">
        <is>
          <t>Linear interpolation between GHSL epochs</t>
        </is>
      </c>
      <c r="K39" s="42" t="n">
        <v>32.1426387</v>
      </c>
      <c r="L39" s="42" t="n">
        <v>833.3276699999999</v>
      </c>
      <c r="M39" s="41" t="n">
        <v>714</v>
      </c>
      <c r="N39" s="41" t="n">
        <v>11905</v>
      </c>
    </row>
    <row r="40">
      <c r="A40" s="43" t="n">
        <v>3</v>
      </c>
      <c r="B40" s="43" t="inlineStr">
        <is>
          <t>III</t>
        </is>
      </c>
      <c r="C40" s="44" t="inlineStr">
        <is>
          <t>Madhavaram</t>
        </is>
      </c>
      <c r="D40" s="43" t="n">
        <v>2018</v>
      </c>
      <c r="E40" s="43" t="inlineStr">
        <is>
          <t>Historical Observed</t>
        </is>
      </c>
      <c r="F40" s="45" t="n">
        <v>239338.4</v>
      </c>
      <c r="G40" s="45" t="n">
        <v>7780313.502745098</v>
      </c>
      <c r="H40" s="46" t="n">
        <v>7.780313502745098</v>
      </c>
      <c r="I40" s="46" t="n">
        <v>25.12862108762262</v>
      </c>
      <c r="J40" s="44" t="inlineStr">
        <is>
          <t>Linear interpolation between GHSL epochs</t>
        </is>
      </c>
      <c r="K40" s="46" t="n">
        <v>32.310684</v>
      </c>
      <c r="L40" s="46" t="n">
        <v>837.6844</v>
      </c>
      <c r="M40" s="45" t="n">
        <v>718</v>
      </c>
      <c r="N40" s="45" t="n">
        <v>11967</v>
      </c>
    </row>
    <row r="41">
      <c r="A41" s="39" t="n">
        <v>3</v>
      </c>
      <c r="B41" s="39" t="inlineStr">
        <is>
          <t>III</t>
        </is>
      </c>
      <c r="C41" s="40" t="inlineStr">
        <is>
          <t>Madhavaram</t>
        </is>
      </c>
      <c r="D41" s="39" t="n">
        <v>2019</v>
      </c>
      <c r="E41" s="39" t="inlineStr">
        <is>
          <t>Historical Observed</t>
        </is>
      </c>
      <c r="F41" s="41" t="n">
        <v>240579.09</v>
      </c>
      <c r="G41" s="41" t="n">
        <v>7836152.998431372</v>
      </c>
      <c r="H41" s="42" t="n">
        <v>7.836152998431372</v>
      </c>
      <c r="I41" s="42" t="n">
        <v>26.2106125827527</v>
      </c>
      <c r="J41" s="40" t="inlineStr">
        <is>
          <t>Linear interpolation between GHSL epochs</t>
        </is>
      </c>
      <c r="K41" s="42" t="n">
        <v>32.47817715</v>
      </c>
      <c r="L41" s="42" t="n">
        <v>842.0268149999999</v>
      </c>
      <c r="M41" s="41" t="n">
        <v>722</v>
      </c>
      <c r="N41" s="41" t="n">
        <v>12029</v>
      </c>
    </row>
    <row r="42">
      <c r="A42" s="43" t="n">
        <v>3</v>
      </c>
      <c r="B42" s="43" t="inlineStr">
        <is>
          <t>III</t>
        </is>
      </c>
      <c r="C42" s="44" t="inlineStr">
        <is>
          <t>Madhavaram</t>
        </is>
      </c>
      <c r="D42" s="43" t="n">
        <v>2020</v>
      </c>
      <c r="E42" s="43" t="inlineStr">
        <is>
          <t>Historical Observed</t>
        </is>
      </c>
      <c r="F42" s="45" t="n">
        <v>241681.29</v>
      </c>
      <c r="G42" s="45" t="n">
        <v>7891992.494117646</v>
      </c>
      <c r="H42" s="46" t="n">
        <v>7.891992494117646</v>
      </c>
      <c r="I42" s="46" t="n">
        <v>25.21577521324023</v>
      </c>
      <c r="J42" s="44" t="inlineStr">
        <is>
          <t>Observed GHSL epoch</t>
        </is>
      </c>
      <c r="K42" s="46" t="n">
        <v>32.62697415</v>
      </c>
      <c r="L42" s="46" t="n">
        <v>845.884515</v>
      </c>
      <c r="M42" s="45" t="n">
        <v>725</v>
      </c>
      <c r="N42" s="45" t="n">
        <v>12084</v>
      </c>
    </row>
    <row r="43">
      <c r="A43" s="39" t="n">
        <v>3</v>
      </c>
      <c r="B43" s="39" t="inlineStr">
        <is>
          <t>III</t>
        </is>
      </c>
      <c r="C43" s="40" t="inlineStr">
        <is>
          <t>Madhavaram</t>
        </is>
      </c>
      <c r="D43" s="39" t="n">
        <v>2021</v>
      </c>
      <c r="E43" s="39" t="inlineStr">
        <is>
          <t>Historical Observed</t>
        </is>
      </c>
      <c r="F43" s="41" t="n">
        <v>242736</v>
      </c>
      <c r="G43" s="41" t="n">
        <v>7920064.854117646</v>
      </c>
      <c r="H43" s="42" t="n">
        <v>7.920064854117646</v>
      </c>
      <c r="I43" s="42" t="n">
        <v>26.84714624564373</v>
      </c>
      <c r="J43" s="40" t="inlineStr">
        <is>
          <t>Linear interpolation between GHSL epochs</t>
        </is>
      </c>
      <c r="K43" s="42" t="n">
        <v>32.76936</v>
      </c>
      <c r="L43" s="42" t="n">
        <v>849.576</v>
      </c>
      <c r="M43" s="41" t="n">
        <v>728</v>
      </c>
      <c r="N43" s="41" t="n">
        <v>12137</v>
      </c>
    </row>
    <row r="44">
      <c r="A44" s="43" t="n">
        <v>3</v>
      </c>
      <c r="B44" s="43" t="inlineStr">
        <is>
          <t>III</t>
        </is>
      </c>
      <c r="C44" s="44" t="inlineStr">
        <is>
          <t>Madhavaram</t>
        </is>
      </c>
      <c r="D44" s="43" t="n">
        <v>2022</v>
      </c>
      <c r="E44" s="43" t="inlineStr">
        <is>
          <t>Historical Observed</t>
        </is>
      </c>
      <c r="F44" s="45" t="n">
        <v>243502.47</v>
      </c>
      <c r="G44" s="45" t="n">
        <v>7948137.214117646</v>
      </c>
      <c r="H44" s="46" t="n">
        <v>7.948137214117646</v>
      </c>
      <c r="I44" s="46" t="n">
        <v>29.74229144356369</v>
      </c>
      <c r="J44" s="44" t="inlineStr">
        <is>
          <t>Linear interpolation between GHSL epochs</t>
        </is>
      </c>
      <c r="K44" s="46" t="n">
        <v>32.87283345</v>
      </c>
      <c r="L44" s="46" t="n">
        <v>852.258645</v>
      </c>
      <c r="M44" s="45" t="n">
        <v>731</v>
      </c>
      <c r="N44" s="45" t="n">
        <v>12175</v>
      </c>
    </row>
    <row r="45">
      <c r="A45" s="39" t="n">
        <v>3</v>
      </c>
      <c r="B45" s="39" t="inlineStr">
        <is>
          <t>III</t>
        </is>
      </c>
      <c r="C45" s="40" t="inlineStr">
        <is>
          <t>Madhavaram</t>
        </is>
      </c>
      <c r="D45" s="39" t="n">
        <v>2023</v>
      </c>
      <c r="E45" s="39" t="inlineStr">
        <is>
          <t>Historical Observed</t>
        </is>
      </c>
      <c r="F45" s="41" t="n">
        <v>244465.79</v>
      </c>
      <c r="G45" s="41" t="n">
        <v>7976209.574117647</v>
      </c>
      <c r="H45" s="42" t="n">
        <v>7.976209574117648</v>
      </c>
      <c r="I45" s="42" t="n">
        <v>33.85041041952771</v>
      </c>
      <c r="J45" s="40" t="inlineStr">
        <is>
          <t>Linear interpolation between GHSL epochs</t>
        </is>
      </c>
      <c r="K45" s="42" t="n">
        <v>33.00288165</v>
      </c>
      <c r="L45" s="42" t="n">
        <v>855.630265</v>
      </c>
      <c r="M45" s="41" t="n">
        <v>733</v>
      </c>
      <c r="N45" s="41" t="n">
        <v>12223</v>
      </c>
    </row>
    <row r="46">
      <c r="A46" s="43" t="n">
        <v>3</v>
      </c>
      <c r="B46" s="43" t="inlineStr">
        <is>
          <t>III</t>
        </is>
      </c>
      <c r="C46" s="44" t="inlineStr">
        <is>
          <t>Madhavaram</t>
        </is>
      </c>
      <c r="D46" s="43" t="n">
        <v>2024</v>
      </c>
      <c r="E46" s="43" t="inlineStr">
        <is>
          <t>Historical Observed</t>
        </is>
      </c>
      <c r="F46" s="45" t="n">
        <v>245411.72</v>
      </c>
      <c r="G46" s="45" t="n">
        <v>8004281.934117648</v>
      </c>
      <c r="H46" s="46" t="n">
        <v>8.004281934117648</v>
      </c>
      <c r="I46" s="46" t="n">
        <v>35.08135045318112</v>
      </c>
      <c r="J46" s="44" t="inlineStr">
        <is>
          <t>Linear interpolation between GHSL epochs</t>
        </is>
      </c>
      <c r="K46" s="46" t="n">
        <v>33.1305822</v>
      </c>
      <c r="L46" s="46" t="n">
        <v>858.94102</v>
      </c>
      <c r="M46" s="45" t="n">
        <v>736</v>
      </c>
      <c r="N46" s="45" t="n">
        <v>12271</v>
      </c>
    </row>
    <row r="47">
      <c r="A47" s="39" t="n">
        <v>3</v>
      </c>
      <c r="B47" s="39" t="inlineStr">
        <is>
          <t>III</t>
        </is>
      </c>
      <c r="C47" s="40" t="inlineStr">
        <is>
          <t>Madhavaram</t>
        </is>
      </c>
      <c r="D47" s="39" t="n">
        <v>2025</v>
      </c>
      <c r="E47" s="39" t="inlineStr">
        <is>
          <t>Historical Observed</t>
        </is>
      </c>
      <c r="F47" s="41" t="n">
        <v>246373.22</v>
      </c>
      <c r="G47" s="41" t="n">
        <v>8032354.294117648</v>
      </c>
      <c r="H47" s="42" t="n">
        <v>8.032354294117647</v>
      </c>
      <c r="I47" s="42" t="n">
        <v>37.6552435067352</v>
      </c>
      <c r="J47" s="40" t="inlineStr">
        <is>
          <t>Observed GHSL epoch</t>
        </is>
      </c>
      <c r="K47" s="42" t="n">
        <v>33.2603847</v>
      </c>
      <c r="L47" s="42" t="n">
        <v>862.30627</v>
      </c>
      <c r="M47" s="41" t="n">
        <v>739</v>
      </c>
      <c r="N47" s="41" t="n">
        <v>12319</v>
      </c>
    </row>
    <row r="48">
      <c r="A48" s="43" t="n">
        <v>3</v>
      </c>
      <c r="B48" s="43" t="inlineStr">
        <is>
          <t>III</t>
        </is>
      </c>
      <c r="C48" s="44" t="inlineStr">
        <is>
          <t>Madhavaram</t>
        </is>
      </c>
      <c r="D48" s="43" t="n">
        <v>2026</v>
      </c>
      <c r="E48" s="43" t="inlineStr">
        <is>
          <t>Historical Observed</t>
        </is>
      </c>
      <c r="F48" s="45" t="n">
        <v>247316.23</v>
      </c>
      <c r="G48" s="45" t="n">
        <v>8045289.707450981</v>
      </c>
      <c r="H48" s="46" t="n">
        <v>8.045289707450982</v>
      </c>
      <c r="I48" s="46" t="n">
        <v>39.88126415985518</v>
      </c>
      <c r="J48" s="44" t="inlineStr">
        <is>
          <t>Linear interpolation between GHSL epochs</t>
        </is>
      </c>
      <c r="K48" s="46" t="n">
        <v>33.38769105</v>
      </c>
      <c r="L48" s="46" t="n">
        <v>865.606805</v>
      </c>
      <c r="M48" s="45" t="n">
        <v>742</v>
      </c>
      <c r="N48" s="45" t="n">
        <v>12366</v>
      </c>
    </row>
    <row r="49">
      <c r="A49" s="47" t="n">
        <v>3</v>
      </c>
      <c r="B49" s="47" t="inlineStr">
        <is>
          <t>III</t>
        </is>
      </c>
      <c r="C49" s="48" t="inlineStr">
        <is>
          <t>Madhavaram</t>
        </is>
      </c>
      <c r="D49" s="47" t="n">
        <v>2027</v>
      </c>
      <c r="E49" s="49" t="inlineStr">
        <is>
          <t>Hybrid ML Forecast</t>
        </is>
      </c>
      <c r="F49" s="50" t="n">
        <v>248209.43</v>
      </c>
      <c r="G49" s="50" t="n">
        <v>8058225.120784315</v>
      </c>
      <c r="H49" s="51" t="n">
        <v>8.058225120784316</v>
      </c>
      <c r="I49" s="52" t="n">
        <v>0</v>
      </c>
      <c r="J49" s="48" t="inlineStr">
        <is>
          <t>Linear interpolation between GHSL epochs</t>
        </is>
      </c>
      <c r="K49" s="51" t="n">
        <v>33.50827305</v>
      </c>
      <c r="L49" s="51" t="n">
        <v>868.733005</v>
      </c>
      <c r="M49" s="50" t="n">
        <v>745</v>
      </c>
      <c r="N49" s="50" t="n">
        <v>12410</v>
      </c>
    </row>
    <row r="50">
      <c r="A50" s="47" t="n">
        <v>3</v>
      </c>
      <c r="B50" s="47" t="inlineStr">
        <is>
          <t>III</t>
        </is>
      </c>
      <c r="C50" s="48" t="inlineStr">
        <is>
          <t>Madhavaram</t>
        </is>
      </c>
      <c r="D50" s="47" t="n">
        <v>2028</v>
      </c>
      <c r="E50" s="49" t="inlineStr">
        <is>
          <t>Hybrid ML Forecast</t>
        </is>
      </c>
      <c r="F50" s="50" t="n">
        <v>249099.67</v>
      </c>
      <c r="G50" s="50" t="n">
        <v>8071160.534117648</v>
      </c>
      <c r="H50" s="51" t="n">
        <v>8.071160534117649</v>
      </c>
      <c r="I50" s="52" t="n">
        <v>0</v>
      </c>
      <c r="J50" s="48" t="inlineStr">
        <is>
          <t>Linear interpolation between GHSL epochs</t>
        </is>
      </c>
      <c r="K50" s="51" t="n">
        <v>33.62845545</v>
      </c>
      <c r="L50" s="51" t="n">
        <v>871.8488450000001</v>
      </c>
      <c r="M50" s="50" t="n">
        <v>747</v>
      </c>
      <c r="N50" s="50" t="n">
        <v>12455</v>
      </c>
    </row>
    <row r="51">
      <c r="A51" s="47" t="n">
        <v>3</v>
      </c>
      <c r="B51" s="47" t="inlineStr">
        <is>
          <t>III</t>
        </is>
      </c>
      <c r="C51" s="48" t="inlineStr">
        <is>
          <t>Madhavaram</t>
        </is>
      </c>
      <c r="D51" s="47" t="n">
        <v>2029</v>
      </c>
      <c r="E51" s="49" t="inlineStr">
        <is>
          <t>Hybrid ML Forecast</t>
        </is>
      </c>
      <c r="F51" s="50" t="n">
        <v>249956.88</v>
      </c>
      <c r="G51" s="50" t="n">
        <v>8084095.947450982</v>
      </c>
      <c r="H51" s="51" t="n">
        <v>8.084095947450983</v>
      </c>
      <c r="I51" s="52" t="n">
        <v>0</v>
      </c>
      <c r="J51" s="48" t="inlineStr">
        <is>
          <t>Linear interpolation between GHSL epochs</t>
        </is>
      </c>
      <c r="K51" s="51" t="n">
        <v>33.7441788</v>
      </c>
      <c r="L51" s="51" t="n">
        <v>874.8490800000001</v>
      </c>
      <c r="M51" s="50" t="n">
        <v>750</v>
      </c>
      <c r="N51" s="50" t="n">
        <v>12498</v>
      </c>
    </row>
    <row r="52">
      <c r="A52" s="47" t="n">
        <v>3</v>
      </c>
      <c r="B52" s="47" t="inlineStr">
        <is>
          <t>III</t>
        </is>
      </c>
      <c r="C52" s="48" t="inlineStr">
        <is>
          <t>Madhavaram</t>
        </is>
      </c>
      <c r="D52" s="47" t="n">
        <v>2030</v>
      </c>
      <c r="E52" s="49" t="inlineStr">
        <is>
          <t>Hybrid ML Forecast</t>
        </is>
      </c>
      <c r="F52" s="50" t="n">
        <v>250794.32</v>
      </c>
      <c r="G52" s="50" t="n">
        <v>8097031.360784316</v>
      </c>
      <c r="H52" s="51" t="n">
        <v>8.097031360784316</v>
      </c>
      <c r="I52" s="52" t="n">
        <v>0</v>
      </c>
      <c r="J52" s="48" t="inlineStr">
        <is>
          <t>Observed GHSL epoch</t>
        </is>
      </c>
      <c r="K52" s="51" t="n">
        <v>33.8572332</v>
      </c>
      <c r="L52" s="51" t="n">
        <v>877.78012</v>
      </c>
      <c r="M52" s="50" t="n">
        <v>752</v>
      </c>
      <c r="N52" s="50" t="n">
        <v>12540</v>
      </c>
    </row>
    <row r="53">
      <c r="A53" s="39" t="n">
        <v>4</v>
      </c>
      <c r="B53" s="39" t="inlineStr">
        <is>
          <t>IV</t>
        </is>
      </c>
      <c r="C53" s="40" t="inlineStr">
        <is>
          <t>Tondiarpet</t>
        </is>
      </c>
      <c r="D53" s="39" t="n">
        <v>2015</v>
      </c>
      <c r="E53" s="39" t="inlineStr">
        <is>
          <t>Historical Observed</t>
        </is>
      </c>
      <c r="F53" s="41" t="n">
        <v>840662.47</v>
      </c>
      <c r="G53" s="41" t="n">
        <v>6999403.227450982</v>
      </c>
      <c r="H53" s="42" t="n">
        <v>6.999403227450982</v>
      </c>
      <c r="I53" s="42" t="n">
        <v>24.57839671796878</v>
      </c>
      <c r="J53" s="40" t="inlineStr">
        <is>
          <t>Observed GHSL epoch</t>
        </is>
      </c>
      <c r="K53" s="42" t="n">
        <v>113.48943345</v>
      </c>
      <c r="L53" s="42" t="n">
        <v>2942.318645</v>
      </c>
      <c r="M53" s="41" t="n">
        <v>2522</v>
      </c>
      <c r="N53" s="41" t="n">
        <v>42033</v>
      </c>
    </row>
    <row r="54">
      <c r="A54" s="43" t="n">
        <v>4</v>
      </c>
      <c r="B54" s="43" t="inlineStr">
        <is>
          <t>IV</t>
        </is>
      </c>
      <c r="C54" s="44" t="inlineStr">
        <is>
          <t>Tondiarpet</t>
        </is>
      </c>
      <c r="D54" s="43" t="n">
        <v>2016</v>
      </c>
      <c r="E54" s="43" t="inlineStr">
        <is>
          <t>Historical Observed</t>
        </is>
      </c>
      <c r="F54" s="45" t="n">
        <v>845775.9399999999</v>
      </c>
      <c r="G54" s="45" t="n">
        <v>7006662.396078432</v>
      </c>
      <c r="H54" s="46" t="n">
        <v>7.006662396078432</v>
      </c>
      <c r="I54" s="46" t="n">
        <v>27.50746594801249</v>
      </c>
      <c r="J54" s="44" t="inlineStr">
        <is>
          <t>Linear interpolation between GHSL epochs</t>
        </is>
      </c>
      <c r="K54" s="46" t="n">
        <v>114.1797519</v>
      </c>
      <c r="L54" s="46" t="n">
        <v>2960.21579</v>
      </c>
      <c r="M54" s="45" t="n">
        <v>2537</v>
      </c>
      <c r="N54" s="45" t="n">
        <v>42289</v>
      </c>
    </row>
    <row r="55">
      <c r="A55" s="39" t="n">
        <v>4</v>
      </c>
      <c r="B55" s="39" t="inlineStr">
        <is>
          <t>IV</t>
        </is>
      </c>
      <c r="C55" s="40" t="inlineStr">
        <is>
          <t>Tondiarpet</t>
        </is>
      </c>
      <c r="D55" s="39" t="n">
        <v>2017</v>
      </c>
      <c r="E55" s="39" t="inlineStr">
        <is>
          <t>Historical Observed</t>
        </is>
      </c>
      <c r="F55" s="41" t="n">
        <v>850954.16</v>
      </c>
      <c r="G55" s="41" t="n">
        <v>7013921.564705882</v>
      </c>
      <c r="H55" s="42" t="n">
        <v>7.013921564705882</v>
      </c>
      <c r="I55" s="42" t="n">
        <v>30.45908100035991</v>
      </c>
      <c r="J55" s="40" t="inlineStr">
        <is>
          <t>Linear interpolation between GHSL epochs</t>
        </is>
      </c>
      <c r="K55" s="42" t="n">
        <v>114.8788116</v>
      </c>
      <c r="L55" s="42" t="n">
        <v>2978.33956</v>
      </c>
      <c r="M55" s="41" t="n">
        <v>2553</v>
      </c>
      <c r="N55" s="41" t="n">
        <v>42548</v>
      </c>
    </row>
    <row r="56">
      <c r="A56" s="43" t="n">
        <v>4</v>
      </c>
      <c r="B56" s="43" t="inlineStr">
        <is>
          <t>IV</t>
        </is>
      </c>
      <c r="C56" s="44" t="inlineStr">
        <is>
          <t>Tondiarpet</t>
        </is>
      </c>
      <c r="D56" s="43" t="n">
        <v>2018</v>
      </c>
      <c r="E56" s="43" t="inlineStr">
        <is>
          <t>Historical Observed</t>
        </is>
      </c>
      <c r="F56" s="45" t="n">
        <v>855580.8199999999</v>
      </c>
      <c r="G56" s="45" t="n">
        <v>7021180.733333333</v>
      </c>
      <c r="H56" s="46" t="n">
        <v>7.021180733333334</v>
      </c>
      <c r="I56" s="46" t="n">
        <v>33.43871449382242</v>
      </c>
      <c r="J56" s="44" t="inlineStr">
        <is>
          <t>Linear interpolation between GHSL epochs</t>
        </is>
      </c>
      <c r="K56" s="46" t="n">
        <v>115.5034107</v>
      </c>
      <c r="L56" s="46" t="n">
        <v>2994.53287</v>
      </c>
      <c r="M56" s="45" t="n">
        <v>2567</v>
      </c>
      <c r="N56" s="45" t="n">
        <v>42779</v>
      </c>
    </row>
    <row r="57">
      <c r="A57" s="39" t="n">
        <v>4</v>
      </c>
      <c r="B57" s="39" t="inlineStr">
        <is>
          <t>IV</t>
        </is>
      </c>
      <c r="C57" s="40" t="inlineStr">
        <is>
          <t>Tondiarpet</t>
        </is>
      </c>
      <c r="D57" s="39" t="n">
        <v>2019</v>
      </c>
      <c r="E57" s="39" t="inlineStr">
        <is>
          <t>Historical Observed</t>
        </is>
      </c>
      <c r="F57" s="41" t="n">
        <v>860108.86</v>
      </c>
      <c r="G57" s="41" t="n">
        <v>7028439.901960784</v>
      </c>
      <c r="H57" s="42" t="n">
        <v>7.028439901960784</v>
      </c>
      <c r="I57" s="42" t="n">
        <v>34.44291875037676</v>
      </c>
      <c r="J57" s="40" t="inlineStr">
        <is>
          <t>Linear interpolation between GHSL epochs</t>
        </is>
      </c>
      <c r="K57" s="42" t="n">
        <v>116.1146961</v>
      </c>
      <c r="L57" s="42" t="n">
        <v>3010.38101</v>
      </c>
      <c r="M57" s="41" t="n">
        <v>2580</v>
      </c>
      <c r="N57" s="41" t="n">
        <v>43005</v>
      </c>
    </row>
    <row r="58">
      <c r="A58" s="43" t="n">
        <v>4</v>
      </c>
      <c r="B58" s="43" t="inlineStr">
        <is>
          <t>IV</t>
        </is>
      </c>
      <c r="C58" s="44" t="inlineStr">
        <is>
          <t>Tondiarpet</t>
        </is>
      </c>
      <c r="D58" s="43" t="n">
        <v>2020</v>
      </c>
      <c r="E58" s="43" t="inlineStr">
        <is>
          <t>Historical Observed</t>
        </is>
      </c>
      <c r="F58" s="45" t="n">
        <v>864109.1</v>
      </c>
      <c r="G58" s="45" t="n">
        <v>7035699.070588234</v>
      </c>
      <c r="H58" s="46" t="n">
        <v>7.035699070588234</v>
      </c>
      <c r="I58" s="46" t="n">
        <v>33.18410113068189</v>
      </c>
      <c r="J58" s="44" t="inlineStr">
        <is>
          <t>Observed GHSL epoch</t>
        </is>
      </c>
      <c r="K58" s="46" t="n">
        <v>116.6547285</v>
      </c>
      <c r="L58" s="46" t="n">
        <v>3024.38185</v>
      </c>
      <c r="M58" s="45" t="n">
        <v>2592</v>
      </c>
      <c r="N58" s="45" t="n">
        <v>43205</v>
      </c>
    </row>
    <row r="59">
      <c r="A59" s="39" t="n">
        <v>4</v>
      </c>
      <c r="B59" s="39" t="inlineStr">
        <is>
          <t>IV</t>
        </is>
      </c>
      <c r="C59" s="40" t="inlineStr">
        <is>
          <t>Tondiarpet</t>
        </is>
      </c>
      <c r="D59" s="39" t="n">
        <v>2021</v>
      </c>
      <c r="E59" s="39" t="inlineStr">
        <is>
          <t>Historical Observed</t>
        </is>
      </c>
      <c r="F59" s="41" t="n">
        <v>867919</v>
      </c>
      <c r="G59" s="41" t="n">
        <v>7043470.315294116</v>
      </c>
      <c r="H59" s="42" t="n">
        <v>7.043470315294115</v>
      </c>
      <c r="I59" s="42" t="n">
        <v>33.85628976010728</v>
      </c>
      <c r="J59" s="40" t="inlineStr">
        <is>
          <t>Linear interpolation between GHSL epochs</t>
        </is>
      </c>
      <c r="K59" s="42" t="n">
        <v>117.169065</v>
      </c>
      <c r="L59" s="42" t="n">
        <v>3037.7165</v>
      </c>
      <c r="M59" s="41" t="n">
        <v>2604</v>
      </c>
      <c r="N59" s="41" t="n">
        <v>43396</v>
      </c>
    </row>
    <row r="60">
      <c r="A60" s="43" t="n">
        <v>4</v>
      </c>
      <c r="B60" s="43" t="inlineStr">
        <is>
          <t>IV</t>
        </is>
      </c>
      <c r="C60" s="44" t="inlineStr">
        <is>
          <t>Tondiarpet</t>
        </is>
      </c>
      <c r="D60" s="43" t="n">
        <v>2022</v>
      </c>
      <c r="E60" s="43" t="inlineStr">
        <is>
          <t>Historical Observed</t>
        </is>
      </c>
      <c r="F60" s="45" t="n">
        <v>870644.37</v>
      </c>
      <c r="G60" s="45" t="n">
        <v>7051241.559999999</v>
      </c>
      <c r="H60" s="46" t="n">
        <v>7.051241559999998</v>
      </c>
      <c r="I60" s="46" t="n">
        <v>33.78380643236842</v>
      </c>
      <c r="J60" s="44" t="inlineStr">
        <is>
          <t>Linear interpolation between GHSL epochs</t>
        </is>
      </c>
      <c r="K60" s="46" t="n">
        <v>117.53698995</v>
      </c>
      <c r="L60" s="46" t="n">
        <v>3047.255295</v>
      </c>
      <c r="M60" s="45" t="n">
        <v>2612</v>
      </c>
      <c r="N60" s="45" t="n">
        <v>43532</v>
      </c>
    </row>
    <row r="61">
      <c r="A61" s="39" t="n">
        <v>4</v>
      </c>
      <c r="B61" s="39" t="inlineStr">
        <is>
          <t>IV</t>
        </is>
      </c>
      <c r="C61" s="40" t="inlineStr">
        <is>
          <t>Tondiarpet</t>
        </is>
      </c>
      <c r="D61" s="39" t="n">
        <v>2023</v>
      </c>
      <c r="E61" s="39" t="inlineStr">
        <is>
          <t>Historical Observed</t>
        </is>
      </c>
      <c r="F61" s="41" t="n">
        <v>874108.85</v>
      </c>
      <c r="G61" s="41" t="n">
        <v>7059012.804705881</v>
      </c>
      <c r="H61" s="42" t="n">
        <v>7.059012804705881</v>
      </c>
      <c r="I61" s="42" t="n">
        <v>37.21372008578602</v>
      </c>
      <c r="J61" s="40" t="inlineStr">
        <is>
          <t>Linear interpolation between GHSL epochs</t>
        </is>
      </c>
      <c r="K61" s="42" t="n">
        <v>118.00469475</v>
      </c>
      <c r="L61" s="42" t="n">
        <v>3059.380975</v>
      </c>
      <c r="M61" s="41" t="n">
        <v>2622</v>
      </c>
      <c r="N61" s="41" t="n">
        <v>43705</v>
      </c>
    </row>
    <row r="62">
      <c r="A62" s="43" t="n">
        <v>4</v>
      </c>
      <c r="B62" s="43" t="inlineStr">
        <is>
          <t>IV</t>
        </is>
      </c>
      <c r="C62" s="44" t="inlineStr">
        <is>
          <t>Tondiarpet</t>
        </is>
      </c>
      <c r="D62" s="43" t="n">
        <v>2024</v>
      </c>
      <c r="E62" s="43" t="inlineStr">
        <is>
          <t>Historical Observed</t>
        </is>
      </c>
      <c r="F62" s="45" t="n">
        <v>877497.11</v>
      </c>
      <c r="G62" s="45" t="n">
        <v>7066784.049411763</v>
      </c>
      <c r="H62" s="46" t="n">
        <v>7.066784049411764</v>
      </c>
      <c r="I62" s="46" t="n">
        <v>36.5822121885686</v>
      </c>
      <c r="J62" s="44" t="inlineStr">
        <is>
          <t>Linear interpolation between GHSL epochs</t>
        </is>
      </c>
      <c r="K62" s="46" t="n">
        <v>118.46210985</v>
      </c>
      <c r="L62" s="46" t="n">
        <v>3071.239885</v>
      </c>
      <c r="M62" s="45" t="n">
        <v>2632</v>
      </c>
      <c r="N62" s="45" t="n">
        <v>43875</v>
      </c>
    </row>
    <row r="63">
      <c r="A63" s="39" t="n">
        <v>4</v>
      </c>
      <c r="B63" s="39" t="inlineStr">
        <is>
          <t>IV</t>
        </is>
      </c>
      <c r="C63" s="40" t="inlineStr">
        <is>
          <t>Tondiarpet</t>
        </is>
      </c>
      <c r="D63" s="39" t="n">
        <v>2025</v>
      </c>
      <c r="E63" s="39" t="inlineStr">
        <is>
          <t>Historical Observed</t>
        </is>
      </c>
      <c r="F63" s="41" t="n">
        <v>880843.6</v>
      </c>
      <c r="G63" s="41" t="n">
        <v>7074555.294117645</v>
      </c>
      <c r="H63" s="42" t="n">
        <v>7.074555294117645</v>
      </c>
      <c r="I63" s="42" t="n">
        <v>41.02120160050516</v>
      </c>
      <c r="J63" s="40" t="inlineStr">
        <is>
          <t>Observed GHSL epoch</t>
        </is>
      </c>
      <c r="K63" s="42" t="n">
        <v>118.913886</v>
      </c>
      <c r="L63" s="42" t="n">
        <v>3082.9526</v>
      </c>
      <c r="M63" s="41" t="n">
        <v>2643</v>
      </c>
      <c r="N63" s="41" t="n">
        <v>44042</v>
      </c>
    </row>
    <row r="64">
      <c r="A64" s="43" t="n">
        <v>4</v>
      </c>
      <c r="B64" s="43" t="inlineStr">
        <is>
          <t>IV</t>
        </is>
      </c>
      <c r="C64" s="44" t="inlineStr">
        <is>
          <t>Tondiarpet</t>
        </is>
      </c>
      <c r="D64" s="43" t="n">
        <v>2026</v>
      </c>
      <c r="E64" s="43" t="inlineStr">
        <is>
          <t>Historical Observed</t>
        </is>
      </c>
      <c r="F64" s="45" t="n">
        <v>884147.49</v>
      </c>
      <c r="G64" s="45" t="n">
        <v>7078087.564705881</v>
      </c>
      <c r="H64" s="46" t="n">
        <v>7.078087564705881</v>
      </c>
      <c r="I64" s="46" t="n">
        <v>45.51931994566827</v>
      </c>
      <c r="J64" s="44" t="inlineStr">
        <is>
          <t>Linear interpolation between GHSL epochs</t>
        </is>
      </c>
      <c r="K64" s="46" t="n">
        <v>119.35991115</v>
      </c>
      <c r="L64" s="46" t="n">
        <v>3094.516215</v>
      </c>
      <c r="M64" s="45" t="n">
        <v>2652</v>
      </c>
      <c r="N64" s="45" t="n">
        <v>44207</v>
      </c>
    </row>
    <row r="65">
      <c r="A65" s="47" t="n">
        <v>4</v>
      </c>
      <c r="B65" s="47" t="inlineStr">
        <is>
          <t>IV</t>
        </is>
      </c>
      <c r="C65" s="48" t="inlineStr">
        <is>
          <t>Tondiarpet</t>
        </is>
      </c>
      <c r="D65" s="47" t="n">
        <v>2027</v>
      </c>
      <c r="E65" s="49" t="inlineStr">
        <is>
          <t>Hybrid ML Forecast</t>
        </is>
      </c>
      <c r="F65" s="50" t="n">
        <v>887273.09</v>
      </c>
      <c r="G65" s="50" t="n">
        <v>7081619.835294116</v>
      </c>
      <c r="H65" s="51" t="n">
        <v>7.081619835294116</v>
      </c>
      <c r="I65" s="52" t="n">
        <v>0</v>
      </c>
      <c r="J65" s="48" t="inlineStr">
        <is>
          <t>Linear interpolation between GHSL epochs</t>
        </is>
      </c>
      <c r="K65" s="51" t="n">
        <v>119.78186715</v>
      </c>
      <c r="L65" s="51" t="n">
        <v>3105.455815</v>
      </c>
      <c r="M65" s="50" t="n">
        <v>2662</v>
      </c>
      <c r="N65" s="50" t="n">
        <v>44364</v>
      </c>
    </row>
    <row r="66">
      <c r="A66" s="47" t="n">
        <v>4</v>
      </c>
      <c r="B66" s="47" t="inlineStr">
        <is>
          <t>IV</t>
        </is>
      </c>
      <c r="C66" s="48" t="inlineStr">
        <is>
          <t>Tondiarpet</t>
        </is>
      </c>
      <c r="D66" s="47" t="n">
        <v>2028</v>
      </c>
      <c r="E66" s="49" t="inlineStr">
        <is>
          <t>Hybrid ML Forecast</t>
        </is>
      </c>
      <c r="F66" s="50" t="n">
        <v>890423.23</v>
      </c>
      <c r="G66" s="50" t="n">
        <v>7085152.105882352</v>
      </c>
      <c r="H66" s="51" t="n">
        <v>7.085152105882353</v>
      </c>
      <c r="I66" s="52" t="n">
        <v>0</v>
      </c>
      <c r="J66" s="48" t="inlineStr">
        <is>
          <t>Linear interpolation between GHSL epochs</t>
        </is>
      </c>
      <c r="K66" s="51" t="n">
        <v>120.20713605</v>
      </c>
      <c r="L66" s="51" t="n">
        <v>3116.481305</v>
      </c>
      <c r="M66" s="50" t="n">
        <v>2671</v>
      </c>
      <c r="N66" s="50" t="n">
        <v>44521</v>
      </c>
    </row>
    <row r="67">
      <c r="A67" s="47" t="n">
        <v>4</v>
      </c>
      <c r="B67" s="47" t="inlineStr">
        <is>
          <t>IV</t>
        </is>
      </c>
      <c r="C67" s="48" t="inlineStr">
        <is>
          <t>Tondiarpet</t>
        </is>
      </c>
      <c r="D67" s="47" t="n">
        <v>2029</v>
      </c>
      <c r="E67" s="49" t="inlineStr">
        <is>
          <t>Hybrid ML Forecast</t>
        </is>
      </c>
      <c r="F67" s="50" t="n">
        <v>893424.91</v>
      </c>
      <c r="G67" s="50" t="n">
        <v>7088684.376470587</v>
      </c>
      <c r="H67" s="51" t="n">
        <v>7.088684376470587</v>
      </c>
      <c r="I67" s="52" t="n">
        <v>0</v>
      </c>
      <c r="J67" s="48" t="inlineStr">
        <is>
          <t>Linear interpolation between GHSL epochs</t>
        </is>
      </c>
      <c r="K67" s="51" t="n">
        <v>120.61236285</v>
      </c>
      <c r="L67" s="51" t="n">
        <v>3126.987185</v>
      </c>
      <c r="M67" s="50" t="n">
        <v>2680</v>
      </c>
      <c r="N67" s="50" t="n">
        <v>44671</v>
      </c>
    </row>
    <row r="68">
      <c r="A68" s="47" t="n">
        <v>4</v>
      </c>
      <c r="B68" s="47" t="inlineStr">
        <is>
          <t>IV</t>
        </is>
      </c>
      <c r="C68" s="48" t="inlineStr">
        <is>
          <t>Tondiarpet</t>
        </is>
      </c>
      <c r="D68" s="47" t="n">
        <v>2030</v>
      </c>
      <c r="E68" s="49" t="inlineStr">
        <is>
          <t>Hybrid ML Forecast</t>
        </is>
      </c>
      <c r="F68" s="50" t="n">
        <v>896391.49</v>
      </c>
      <c r="G68" s="50" t="n">
        <v>7092216.647058823</v>
      </c>
      <c r="H68" s="51" t="n">
        <v>7.092216647058823</v>
      </c>
      <c r="I68" s="52" t="n">
        <v>0</v>
      </c>
      <c r="J68" s="48" t="inlineStr">
        <is>
          <t>Observed GHSL epoch</t>
        </is>
      </c>
      <c r="K68" s="51" t="n">
        <v>121.01285115</v>
      </c>
      <c r="L68" s="51" t="n">
        <v>3137.370215</v>
      </c>
      <c r="M68" s="50" t="n">
        <v>2689</v>
      </c>
      <c r="N68" s="50" t="n">
        <v>44820</v>
      </c>
    </row>
    <row r="69">
      <c r="A69" s="39" t="n">
        <v>5</v>
      </c>
      <c r="B69" s="39" t="inlineStr">
        <is>
          <t>V</t>
        </is>
      </c>
      <c r="C69" s="40" t="inlineStr">
        <is>
          <t>Royapuram</t>
        </is>
      </c>
      <c r="D69" s="39" t="n">
        <v>2015</v>
      </c>
      <c r="E69" s="39" t="inlineStr">
        <is>
          <t>Historical Observed</t>
        </is>
      </c>
      <c r="F69" s="41" t="n">
        <v>723572.62</v>
      </c>
      <c r="G69" s="41" t="n">
        <v>7254770.121568628</v>
      </c>
      <c r="H69" s="42" t="n">
        <v>7.254770121568628</v>
      </c>
      <c r="I69" s="42" t="n">
        <v>49.59965480851634</v>
      </c>
      <c r="J69" s="40" t="inlineStr">
        <is>
          <t>Observed GHSL epoch</t>
        </is>
      </c>
      <c r="K69" s="42" t="n">
        <v>97.68230370000001</v>
      </c>
      <c r="L69" s="42" t="n">
        <v>2532.50417</v>
      </c>
      <c r="M69" s="41" t="n">
        <v>2171</v>
      </c>
      <c r="N69" s="41" t="n">
        <v>36179</v>
      </c>
    </row>
    <row r="70">
      <c r="A70" s="43" t="n">
        <v>5</v>
      </c>
      <c r="B70" s="43" t="inlineStr">
        <is>
          <t>V</t>
        </is>
      </c>
      <c r="C70" s="44" t="inlineStr">
        <is>
          <t>Royapuram</t>
        </is>
      </c>
      <c r="D70" s="43" t="n">
        <v>2016</v>
      </c>
      <c r="E70" s="43" t="inlineStr">
        <is>
          <t>Historical Observed</t>
        </is>
      </c>
      <c r="F70" s="45" t="n">
        <v>727732.34</v>
      </c>
      <c r="G70" s="45" t="n">
        <v>7262529.472941177</v>
      </c>
      <c r="H70" s="46" t="n">
        <v>7.262529472941177</v>
      </c>
      <c r="I70" s="46" t="n">
        <v>43.43607725004518</v>
      </c>
      <c r="J70" s="44" t="inlineStr">
        <is>
          <t>Linear interpolation between GHSL epochs</t>
        </is>
      </c>
      <c r="K70" s="46" t="n">
        <v>98.24386589999999</v>
      </c>
      <c r="L70" s="46" t="n">
        <v>2547.06319</v>
      </c>
      <c r="M70" s="45" t="n">
        <v>2183</v>
      </c>
      <c r="N70" s="45" t="n">
        <v>36387</v>
      </c>
    </row>
    <row r="71">
      <c r="A71" s="39" t="n">
        <v>5</v>
      </c>
      <c r="B71" s="39" t="inlineStr">
        <is>
          <t>V</t>
        </is>
      </c>
      <c r="C71" s="40" t="inlineStr">
        <is>
          <t>Royapuram</t>
        </is>
      </c>
      <c r="D71" s="39" t="n">
        <v>2017</v>
      </c>
      <c r="E71" s="39" t="inlineStr">
        <is>
          <t>Historical Observed</t>
        </is>
      </c>
      <c r="F71" s="41" t="n">
        <v>731919.46</v>
      </c>
      <c r="G71" s="41" t="n">
        <v>7270288.824313725</v>
      </c>
      <c r="H71" s="42" t="n">
        <v>7.270288824313726</v>
      </c>
      <c r="I71" s="42" t="n">
        <v>45.70446605769162</v>
      </c>
      <c r="J71" s="40" t="inlineStr">
        <is>
          <t>Linear interpolation between GHSL epochs</t>
        </is>
      </c>
      <c r="K71" s="42" t="n">
        <v>98.8091271</v>
      </c>
      <c r="L71" s="42" t="n">
        <v>2561.71811</v>
      </c>
      <c r="M71" s="41" t="n">
        <v>2196</v>
      </c>
      <c r="N71" s="41" t="n">
        <v>36596</v>
      </c>
    </row>
    <row r="72">
      <c r="A72" s="43" t="n">
        <v>5</v>
      </c>
      <c r="B72" s="43" t="inlineStr">
        <is>
          <t>V</t>
        </is>
      </c>
      <c r="C72" s="44" t="inlineStr">
        <is>
          <t>Royapuram</t>
        </is>
      </c>
      <c r="D72" s="43" t="n">
        <v>2018</v>
      </c>
      <c r="E72" s="43" t="inlineStr">
        <is>
          <t>Historical Observed</t>
        </is>
      </c>
      <c r="F72" s="45" t="n">
        <v>735656.4399999999</v>
      </c>
      <c r="G72" s="45" t="n">
        <v>7278048.175686275</v>
      </c>
      <c r="H72" s="46" t="n">
        <v>7.278048175686274</v>
      </c>
      <c r="I72" s="46" t="n">
        <v>47.15120760593982</v>
      </c>
      <c r="J72" s="44" t="inlineStr">
        <is>
          <t>Linear interpolation between GHSL epochs</t>
        </is>
      </c>
      <c r="K72" s="46" t="n">
        <v>99.31361939999999</v>
      </c>
      <c r="L72" s="46" t="n">
        <v>2574.79754</v>
      </c>
      <c r="M72" s="45" t="n">
        <v>2207</v>
      </c>
      <c r="N72" s="45" t="n">
        <v>36783</v>
      </c>
    </row>
    <row r="73">
      <c r="A73" s="39" t="n">
        <v>5</v>
      </c>
      <c r="B73" s="39" t="inlineStr">
        <is>
          <t>V</t>
        </is>
      </c>
      <c r="C73" s="40" t="inlineStr">
        <is>
          <t>Royapuram</t>
        </is>
      </c>
      <c r="D73" s="39" t="n">
        <v>2019</v>
      </c>
      <c r="E73" s="39" t="inlineStr">
        <is>
          <t>Historical Observed</t>
        </is>
      </c>
      <c r="F73" s="41" t="n">
        <v>739269.55</v>
      </c>
      <c r="G73" s="41" t="n">
        <v>7285807.527058823</v>
      </c>
      <c r="H73" s="42" t="n">
        <v>7.285807527058823</v>
      </c>
      <c r="I73" s="42" t="n">
        <v>52.43997850770405</v>
      </c>
      <c r="J73" s="40" t="inlineStr">
        <is>
          <t>Linear interpolation between GHSL epochs</t>
        </is>
      </c>
      <c r="K73" s="42" t="n">
        <v>99.80138925</v>
      </c>
      <c r="L73" s="42" t="n">
        <v>2587.443425</v>
      </c>
      <c r="M73" s="41" t="n">
        <v>2218</v>
      </c>
      <c r="N73" s="41" t="n">
        <v>36963</v>
      </c>
    </row>
    <row r="74">
      <c r="A74" s="43" t="n">
        <v>5</v>
      </c>
      <c r="B74" s="43" t="inlineStr">
        <is>
          <t>V</t>
        </is>
      </c>
      <c r="C74" s="44" t="inlineStr">
        <is>
          <t>Royapuram</t>
        </is>
      </c>
      <c r="D74" s="43" t="n">
        <v>2020</v>
      </c>
      <c r="E74" s="43" t="inlineStr">
        <is>
          <t>Historical Observed</t>
        </is>
      </c>
      <c r="F74" s="45" t="n">
        <v>742470.04</v>
      </c>
      <c r="G74" s="45" t="n">
        <v>7293566.878431372</v>
      </c>
      <c r="H74" s="46" t="n">
        <v>7.293566878431372</v>
      </c>
      <c r="I74" s="46" t="n">
        <v>47.41991322305921</v>
      </c>
      <c r="J74" s="44" t="inlineStr">
        <is>
          <t>Observed GHSL epoch</t>
        </is>
      </c>
      <c r="K74" s="46" t="n">
        <v>100.2334554</v>
      </c>
      <c r="L74" s="46" t="n">
        <v>2598.64514</v>
      </c>
      <c r="M74" s="45" t="n">
        <v>2227</v>
      </c>
      <c r="N74" s="45" t="n">
        <v>37124</v>
      </c>
    </row>
    <row r="75">
      <c r="A75" s="39" t="n">
        <v>5</v>
      </c>
      <c r="B75" s="39" t="inlineStr">
        <is>
          <t>V</t>
        </is>
      </c>
      <c r="C75" s="40" t="inlineStr">
        <is>
          <t>Royapuram</t>
        </is>
      </c>
      <c r="D75" s="39" t="n">
        <v>2021</v>
      </c>
      <c r="E75" s="39" t="inlineStr">
        <is>
          <t>Historical Observed</t>
        </is>
      </c>
      <c r="F75" s="41" t="n">
        <v>745502</v>
      </c>
      <c r="G75" s="41" t="n">
        <v>7295639.551372549</v>
      </c>
      <c r="H75" s="42" t="n">
        <v>7.295639551372549</v>
      </c>
      <c r="I75" s="42" t="n">
        <v>50.2329803966498</v>
      </c>
      <c r="J75" s="40" t="inlineStr">
        <is>
          <t>Linear interpolation between GHSL epochs</t>
        </is>
      </c>
      <c r="K75" s="42" t="n">
        <v>100.64277</v>
      </c>
      <c r="L75" s="42" t="n">
        <v>2609.257</v>
      </c>
      <c r="M75" s="41" t="n">
        <v>2237</v>
      </c>
      <c r="N75" s="41" t="n">
        <v>37275</v>
      </c>
    </row>
    <row r="76">
      <c r="A76" s="43" t="n">
        <v>5</v>
      </c>
      <c r="B76" s="43" t="inlineStr">
        <is>
          <t>V</t>
        </is>
      </c>
      <c r="C76" s="44" t="inlineStr">
        <is>
          <t>Royapuram</t>
        </is>
      </c>
      <c r="D76" s="43" t="n">
        <v>2022</v>
      </c>
      <c r="E76" s="43" t="inlineStr">
        <is>
          <t>Historical Observed</t>
        </is>
      </c>
      <c r="F76" s="45" t="n">
        <v>747671.25</v>
      </c>
      <c r="G76" s="45" t="n">
        <v>7297712.224313725</v>
      </c>
      <c r="H76" s="46" t="n">
        <v>7.297712224313725</v>
      </c>
      <c r="I76" s="46" t="n">
        <v>48.83649654983765</v>
      </c>
      <c r="J76" s="44" t="inlineStr">
        <is>
          <t>Linear interpolation between GHSL epochs</t>
        </is>
      </c>
      <c r="K76" s="46" t="n">
        <v>100.93561875</v>
      </c>
      <c r="L76" s="46" t="n">
        <v>2616.849375</v>
      </c>
      <c r="M76" s="45" t="n">
        <v>2243</v>
      </c>
      <c r="N76" s="45" t="n">
        <v>37384</v>
      </c>
    </row>
    <row r="77">
      <c r="A77" s="39" t="n">
        <v>5</v>
      </c>
      <c r="B77" s="39" t="inlineStr">
        <is>
          <t>V</t>
        </is>
      </c>
      <c r="C77" s="40" t="inlineStr">
        <is>
          <t>Royapuram</t>
        </is>
      </c>
      <c r="D77" s="39" t="n">
        <v>2023</v>
      </c>
      <c r="E77" s="39" t="inlineStr">
        <is>
          <t>Historical Observed</t>
        </is>
      </c>
      <c r="F77" s="41" t="n">
        <v>750437.22</v>
      </c>
      <c r="G77" s="41" t="n">
        <v>7299784.897254902</v>
      </c>
      <c r="H77" s="42" t="n">
        <v>7.299784897254902</v>
      </c>
      <c r="I77" s="42" t="n">
        <v>51.07840360625557</v>
      </c>
      <c r="J77" s="40" t="inlineStr">
        <is>
          <t>Linear interpolation between GHSL epochs</t>
        </is>
      </c>
      <c r="K77" s="42" t="n">
        <v>101.3090247</v>
      </c>
      <c r="L77" s="42" t="n">
        <v>2626.53027</v>
      </c>
      <c r="M77" s="41" t="n">
        <v>2251</v>
      </c>
      <c r="N77" s="41" t="n">
        <v>37522</v>
      </c>
    </row>
    <row r="78">
      <c r="A78" s="43" t="n">
        <v>5</v>
      </c>
      <c r="B78" s="43" t="inlineStr">
        <is>
          <t>V</t>
        </is>
      </c>
      <c r="C78" s="44" t="inlineStr">
        <is>
          <t>Royapuram</t>
        </is>
      </c>
      <c r="D78" s="43" t="n">
        <v>2024</v>
      </c>
      <c r="E78" s="43" t="inlineStr">
        <is>
          <t>Historical Observed</t>
        </is>
      </c>
      <c r="F78" s="45" t="n">
        <v>753130.29</v>
      </c>
      <c r="G78" s="45" t="n">
        <v>7301857.570196078</v>
      </c>
      <c r="H78" s="46" t="n">
        <v>7.301857570196078</v>
      </c>
      <c r="I78" s="46" t="n">
        <v>57.61971535199567</v>
      </c>
      <c r="J78" s="44" t="inlineStr">
        <is>
          <t>Linear interpolation between GHSL epochs</t>
        </is>
      </c>
      <c r="K78" s="46" t="n">
        <v>101.67258915</v>
      </c>
      <c r="L78" s="46" t="n">
        <v>2635.956015</v>
      </c>
      <c r="M78" s="45" t="n">
        <v>2259</v>
      </c>
      <c r="N78" s="45" t="n">
        <v>37657</v>
      </c>
    </row>
    <row r="79">
      <c r="A79" s="39" t="n">
        <v>5</v>
      </c>
      <c r="B79" s="39" t="inlineStr">
        <is>
          <t>V</t>
        </is>
      </c>
      <c r="C79" s="40" t="inlineStr">
        <is>
          <t>Royapuram</t>
        </is>
      </c>
      <c r="D79" s="39" t="n">
        <v>2025</v>
      </c>
      <c r="E79" s="39" t="inlineStr">
        <is>
          <t>Historical Observed</t>
        </is>
      </c>
      <c r="F79" s="41" t="n">
        <v>755780.05</v>
      </c>
      <c r="G79" s="41" t="n">
        <v>7303930.243137254</v>
      </c>
      <c r="H79" s="42" t="n">
        <v>7.303930243137255</v>
      </c>
      <c r="I79" s="42" t="n">
        <v>65.75260873811206</v>
      </c>
      <c r="J79" s="40" t="inlineStr">
        <is>
          <t>Observed GHSL epoch</t>
        </is>
      </c>
      <c r="K79" s="42" t="n">
        <v>102.03030675</v>
      </c>
      <c r="L79" s="42" t="n">
        <v>2645.230175</v>
      </c>
      <c r="M79" s="41" t="n">
        <v>2267</v>
      </c>
      <c r="N79" s="41" t="n">
        <v>37789</v>
      </c>
    </row>
    <row r="80">
      <c r="A80" s="43" t="n">
        <v>5</v>
      </c>
      <c r="B80" s="43" t="inlineStr">
        <is>
          <t>V</t>
        </is>
      </c>
      <c r="C80" s="44" t="inlineStr">
        <is>
          <t>Royapuram</t>
        </is>
      </c>
      <c r="D80" s="43" t="n">
        <v>2026</v>
      </c>
      <c r="E80" s="43" t="inlineStr">
        <is>
          <t>Historical Observed</t>
        </is>
      </c>
      <c r="F80" s="45" t="n">
        <v>758394.16</v>
      </c>
      <c r="G80" s="45" t="n">
        <v>7304096.640784313</v>
      </c>
      <c r="H80" s="46" t="n">
        <v>7.304096640784313</v>
      </c>
      <c r="I80" s="46" t="n">
        <v>70.58069477382521</v>
      </c>
      <c r="J80" s="44" t="inlineStr">
        <is>
          <t>Linear interpolation between GHSL epochs</t>
        </is>
      </c>
      <c r="K80" s="46" t="n">
        <v>102.3832116</v>
      </c>
      <c r="L80" s="46" t="n">
        <v>2654.37956</v>
      </c>
      <c r="M80" s="45" t="n">
        <v>2275</v>
      </c>
      <c r="N80" s="45" t="n">
        <v>37920</v>
      </c>
    </row>
    <row r="81">
      <c r="A81" s="47" t="n">
        <v>5</v>
      </c>
      <c r="B81" s="47" t="inlineStr">
        <is>
          <t>V</t>
        </is>
      </c>
      <c r="C81" s="48" t="inlineStr">
        <is>
          <t>Royapuram</t>
        </is>
      </c>
      <c r="D81" s="47" t="n">
        <v>2027</v>
      </c>
      <c r="E81" s="49" t="inlineStr">
        <is>
          <t>Hybrid ML Forecast</t>
        </is>
      </c>
      <c r="F81" s="50" t="n">
        <v>760863.47</v>
      </c>
      <c r="G81" s="50" t="n">
        <v>7304263.038431372</v>
      </c>
      <c r="H81" s="51" t="n">
        <v>7.304263038431372</v>
      </c>
      <c r="I81" s="52" t="n">
        <v>0</v>
      </c>
      <c r="J81" s="48" t="inlineStr">
        <is>
          <t>Linear interpolation between GHSL epochs</t>
        </is>
      </c>
      <c r="K81" s="51" t="n">
        <v>102.71656845</v>
      </c>
      <c r="L81" s="51" t="n">
        <v>2663.022145</v>
      </c>
      <c r="M81" s="50" t="n">
        <v>2283</v>
      </c>
      <c r="N81" s="50" t="n">
        <v>38043</v>
      </c>
    </row>
    <row r="82">
      <c r="A82" s="47" t="n">
        <v>5</v>
      </c>
      <c r="B82" s="47" t="inlineStr">
        <is>
          <t>V</t>
        </is>
      </c>
      <c r="C82" s="48" t="inlineStr">
        <is>
          <t>Royapuram</t>
        </is>
      </c>
      <c r="D82" s="47" t="n">
        <v>2028</v>
      </c>
      <c r="E82" s="49" t="inlineStr">
        <is>
          <t>Hybrid ML Forecast</t>
        </is>
      </c>
      <c r="F82" s="50" t="n">
        <v>763342.47</v>
      </c>
      <c r="G82" s="50" t="n">
        <v>7304429.436078431</v>
      </c>
      <c r="H82" s="51" t="n">
        <v>7.304429436078431</v>
      </c>
      <c r="I82" s="52" t="n">
        <v>0</v>
      </c>
      <c r="J82" s="48" t="inlineStr">
        <is>
          <t>Linear interpolation between GHSL epochs</t>
        </is>
      </c>
      <c r="K82" s="51" t="n">
        <v>103.05123345</v>
      </c>
      <c r="L82" s="51" t="n">
        <v>2671.698645</v>
      </c>
      <c r="M82" s="50" t="n">
        <v>2290</v>
      </c>
      <c r="N82" s="50" t="n">
        <v>38167</v>
      </c>
    </row>
    <row r="83">
      <c r="A83" s="47" t="n">
        <v>5</v>
      </c>
      <c r="B83" s="47" t="inlineStr">
        <is>
          <t>V</t>
        </is>
      </c>
      <c r="C83" s="48" t="inlineStr">
        <is>
          <t>Royapuram</t>
        </is>
      </c>
      <c r="D83" s="47" t="n">
        <v>2029</v>
      </c>
      <c r="E83" s="49" t="inlineStr">
        <is>
          <t>Hybrid ML Forecast</t>
        </is>
      </c>
      <c r="F83" s="50" t="n">
        <v>765697.99</v>
      </c>
      <c r="G83" s="50" t="n">
        <v>7304595.83372549</v>
      </c>
      <c r="H83" s="51" t="n">
        <v>7.304595833725489</v>
      </c>
      <c r="I83" s="52" t="n">
        <v>0</v>
      </c>
      <c r="J83" s="48" t="inlineStr">
        <is>
          <t>Linear interpolation between GHSL epochs</t>
        </is>
      </c>
      <c r="K83" s="51" t="n">
        <v>103.36922865</v>
      </c>
      <c r="L83" s="51" t="n">
        <v>2679.942965</v>
      </c>
      <c r="M83" s="50" t="n">
        <v>2297</v>
      </c>
      <c r="N83" s="50" t="n">
        <v>38285</v>
      </c>
    </row>
    <row r="84">
      <c r="A84" s="47" t="n">
        <v>5</v>
      </c>
      <c r="B84" s="47" t="inlineStr">
        <is>
          <t>V</t>
        </is>
      </c>
      <c r="C84" s="48" t="inlineStr">
        <is>
          <t>Royapuram</t>
        </is>
      </c>
      <c r="D84" s="47" t="n">
        <v>2030</v>
      </c>
      <c r="E84" s="49" t="inlineStr">
        <is>
          <t>Hybrid ML Forecast</t>
        </is>
      </c>
      <c r="F84" s="50" t="n">
        <v>768030.5</v>
      </c>
      <c r="G84" s="50" t="n">
        <v>7304762.231372548</v>
      </c>
      <c r="H84" s="51" t="n">
        <v>7.304762231372548</v>
      </c>
      <c r="I84" s="52" t="n">
        <v>0</v>
      </c>
      <c r="J84" s="48" t="inlineStr">
        <is>
          <t>Observed GHSL epoch</t>
        </is>
      </c>
      <c r="K84" s="51" t="n">
        <v>103.6841175</v>
      </c>
      <c r="L84" s="51" t="n">
        <v>2688.10675</v>
      </c>
      <c r="M84" s="50" t="n">
        <v>2304</v>
      </c>
      <c r="N84" s="50" t="n">
        <v>38402</v>
      </c>
    </row>
    <row r="85">
      <c r="A85" s="39" t="n">
        <v>6</v>
      </c>
      <c r="B85" s="39" t="inlineStr">
        <is>
          <t>VI</t>
        </is>
      </c>
      <c r="C85" s="40" t="inlineStr">
        <is>
          <t>Thiru-Vi-Ka-Nagar</t>
        </is>
      </c>
      <c r="D85" s="39" t="n">
        <v>2015</v>
      </c>
      <c r="E85" s="39" t="inlineStr">
        <is>
          <t>Historical Observed</t>
        </is>
      </c>
      <c r="F85" s="41" t="n">
        <v>753840.62</v>
      </c>
      <c r="G85" s="41" t="n">
        <v>7136866.345098042</v>
      </c>
      <c r="H85" s="42" t="n">
        <v>7.136866345098042</v>
      </c>
      <c r="I85" s="42" t="n">
        <v>26.77158821399398</v>
      </c>
      <c r="J85" s="40" t="inlineStr">
        <is>
          <t>Observed GHSL epoch</t>
        </is>
      </c>
      <c r="K85" s="42" t="n">
        <v>101.7684837</v>
      </c>
      <c r="L85" s="42" t="n">
        <v>2638.44217</v>
      </c>
      <c r="M85" s="41" t="n">
        <v>2262</v>
      </c>
      <c r="N85" s="41" t="n">
        <v>37692</v>
      </c>
    </row>
    <row r="86">
      <c r="A86" s="43" t="n">
        <v>6</v>
      </c>
      <c r="B86" s="43" t="inlineStr">
        <is>
          <t>VI</t>
        </is>
      </c>
      <c r="C86" s="44" t="inlineStr">
        <is>
          <t>Thiru-Vi-Ka-Nagar</t>
        </is>
      </c>
      <c r="D86" s="43" t="n">
        <v>2016</v>
      </c>
      <c r="E86" s="43" t="inlineStr">
        <is>
          <t>Historical Observed</t>
        </is>
      </c>
      <c r="F86" s="45" t="n">
        <v>758394.14</v>
      </c>
      <c r="G86" s="45" t="n">
        <v>7143388.684705885</v>
      </c>
      <c r="H86" s="46" t="n">
        <v>7.143388684705885</v>
      </c>
      <c r="I86" s="46" t="n">
        <v>27.55706011291824</v>
      </c>
      <c r="J86" s="44" t="inlineStr">
        <is>
          <t>Linear interpolation between GHSL epochs</t>
        </is>
      </c>
      <c r="K86" s="46" t="n">
        <v>102.3832089</v>
      </c>
      <c r="L86" s="46" t="n">
        <v>2654.37949</v>
      </c>
      <c r="M86" s="45" t="n">
        <v>2275</v>
      </c>
      <c r="N86" s="45" t="n">
        <v>37920</v>
      </c>
    </row>
    <row r="87">
      <c r="A87" s="39" t="n">
        <v>6</v>
      </c>
      <c r="B87" s="39" t="inlineStr">
        <is>
          <t>VI</t>
        </is>
      </c>
      <c r="C87" s="40" t="inlineStr">
        <is>
          <t>Thiru-Vi-Ka-Nagar</t>
        </is>
      </c>
      <c r="D87" s="39" t="n">
        <v>2017</v>
      </c>
      <c r="E87" s="39" t="inlineStr">
        <is>
          <t>Historical Observed</t>
        </is>
      </c>
      <c r="F87" s="41" t="n">
        <v>763002.8199999999</v>
      </c>
      <c r="G87" s="41" t="n">
        <v>7149911.024313728</v>
      </c>
      <c r="H87" s="42" t="n">
        <v>7.149911024313728</v>
      </c>
      <c r="I87" s="42" t="n">
        <v>33.8045946548661</v>
      </c>
      <c r="J87" s="40" t="inlineStr">
        <is>
          <t>Linear interpolation between GHSL epochs</t>
        </is>
      </c>
      <c r="K87" s="42" t="n">
        <v>103.0053807</v>
      </c>
      <c r="L87" s="42" t="n">
        <v>2670.50987</v>
      </c>
      <c r="M87" s="41" t="n">
        <v>2289</v>
      </c>
      <c r="N87" s="41" t="n">
        <v>38150</v>
      </c>
    </row>
    <row r="88">
      <c r="A88" s="43" t="n">
        <v>6</v>
      </c>
      <c r="B88" s="43" t="inlineStr">
        <is>
          <t>VI</t>
        </is>
      </c>
      <c r="C88" s="44" t="inlineStr">
        <is>
          <t>Thiru-Vi-Ka-Nagar</t>
        </is>
      </c>
      <c r="D88" s="43" t="n">
        <v>2018</v>
      </c>
      <c r="E88" s="43" t="inlineStr">
        <is>
          <t>Historical Observed</t>
        </is>
      </c>
      <c r="F88" s="45" t="n">
        <v>767116.6800000001</v>
      </c>
      <c r="G88" s="45" t="n">
        <v>7156433.363921571</v>
      </c>
      <c r="H88" s="46" t="n">
        <v>7.156433363921571</v>
      </c>
      <c r="I88" s="46" t="n">
        <v>33.82695530127458</v>
      </c>
      <c r="J88" s="44" t="inlineStr">
        <is>
          <t>Linear interpolation between GHSL epochs</t>
        </is>
      </c>
      <c r="K88" s="46" t="n">
        <v>103.5607518</v>
      </c>
      <c r="L88" s="46" t="n">
        <v>2684.90838</v>
      </c>
      <c r="M88" s="45" t="n">
        <v>2301</v>
      </c>
      <c r="N88" s="45" t="n">
        <v>38356</v>
      </c>
    </row>
    <row r="89">
      <c r="A89" s="39" t="n">
        <v>6</v>
      </c>
      <c r="B89" s="39" t="inlineStr">
        <is>
          <t>VI</t>
        </is>
      </c>
      <c r="C89" s="40" t="inlineStr">
        <is>
          <t>Thiru-Vi-Ka-Nagar</t>
        </is>
      </c>
      <c r="D89" s="39" t="n">
        <v>2019</v>
      </c>
      <c r="E89" s="39" t="inlineStr">
        <is>
          <t>Historical Observed</t>
        </is>
      </c>
      <c r="F89" s="41" t="n">
        <v>771129.91</v>
      </c>
      <c r="G89" s="41" t="n">
        <v>7162955.703529414</v>
      </c>
      <c r="H89" s="42" t="n">
        <v>7.162955703529414</v>
      </c>
      <c r="I89" s="42" t="n">
        <v>37.11521126229489</v>
      </c>
      <c r="J89" s="40" t="inlineStr">
        <is>
          <t>Linear interpolation between GHSL epochs</t>
        </is>
      </c>
      <c r="K89" s="42" t="n">
        <v>104.10253785</v>
      </c>
      <c r="L89" s="42" t="n">
        <v>2698.954685</v>
      </c>
      <c r="M89" s="41" t="n">
        <v>2313</v>
      </c>
      <c r="N89" s="41" t="n">
        <v>38556</v>
      </c>
    </row>
    <row r="90">
      <c r="A90" s="43" t="n">
        <v>6</v>
      </c>
      <c r="B90" s="43" t="inlineStr">
        <is>
          <t>VI</t>
        </is>
      </c>
      <c r="C90" s="44" t="inlineStr">
        <is>
          <t>Thiru-Vi-Ka-Nagar</t>
        </is>
      </c>
      <c r="D90" s="43" t="n">
        <v>2020</v>
      </c>
      <c r="E90" s="43" t="inlineStr">
        <is>
          <t>Historical Observed</t>
        </is>
      </c>
      <c r="F90" s="45" t="n">
        <v>774647.89</v>
      </c>
      <c r="G90" s="45" t="n">
        <v>7169478.043137257</v>
      </c>
      <c r="H90" s="46" t="n">
        <v>7.169478043137257</v>
      </c>
      <c r="I90" s="46" t="n">
        <v>33.44357099702052</v>
      </c>
      <c r="J90" s="44" t="inlineStr">
        <is>
          <t>Observed GHSL epoch</t>
        </is>
      </c>
      <c r="K90" s="46" t="n">
        <v>104.57746515</v>
      </c>
      <c r="L90" s="46" t="n">
        <v>2711.267615</v>
      </c>
      <c r="M90" s="45" t="n">
        <v>2324</v>
      </c>
      <c r="N90" s="45" t="n">
        <v>38732</v>
      </c>
    </row>
    <row r="91">
      <c r="A91" s="39" t="n">
        <v>6</v>
      </c>
      <c r="B91" s="39" t="inlineStr">
        <is>
          <t>VI</t>
        </is>
      </c>
      <c r="C91" s="40" t="inlineStr">
        <is>
          <t>Thiru-Vi-Ka-Nagar</t>
        </is>
      </c>
      <c r="D91" s="39" t="n">
        <v>2021</v>
      </c>
      <c r="E91" s="39" t="inlineStr">
        <is>
          <t>Historical Observed</t>
        </is>
      </c>
      <c r="F91" s="41" t="n">
        <v>777998</v>
      </c>
      <c r="G91" s="41" t="n">
        <v>7169478.043137257</v>
      </c>
      <c r="H91" s="42" t="n">
        <v>7.169478043137257</v>
      </c>
      <c r="I91" s="42" t="n">
        <v>35.06498163428387</v>
      </c>
      <c r="J91" s="40" t="inlineStr">
        <is>
          <t>Linear interpolation between GHSL epochs</t>
        </is>
      </c>
      <c r="K91" s="42" t="n">
        <v>105.02973</v>
      </c>
      <c r="L91" s="42" t="n">
        <v>2722.993</v>
      </c>
      <c r="M91" s="41" t="n">
        <v>2334</v>
      </c>
      <c r="N91" s="41" t="n">
        <v>38900</v>
      </c>
    </row>
    <row r="92">
      <c r="A92" s="43" t="n">
        <v>6</v>
      </c>
      <c r="B92" s="43" t="inlineStr">
        <is>
          <t>VI</t>
        </is>
      </c>
      <c r="C92" s="44" t="inlineStr">
        <is>
          <t>Thiru-Vi-Ka-Nagar</t>
        </is>
      </c>
      <c r="D92" s="43" t="n">
        <v>2022</v>
      </c>
      <c r="E92" s="43" t="inlineStr">
        <is>
          <t>Historical Observed</t>
        </is>
      </c>
      <c r="F92" s="45" t="n">
        <v>780397.0699999999</v>
      </c>
      <c r="G92" s="45" t="n">
        <v>7169478.043137257</v>
      </c>
      <c r="H92" s="46" t="n">
        <v>7.169478043137257</v>
      </c>
      <c r="I92" s="46" t="n">
        <v>36.49526110910353</v>
      </c>
      <c r="J92" s="44" t="inlineStr">
        <is>
          <t>Linear interpolation between GHSL epochs</t>
        </is>
      </c>
      <c r="K92" s="46" t="n">
        <v>105.35360445</v>
      </c>
      <c r="L92" s="46" t="n">
        <v>2731.389744999999</v>
      </c>
      <c r="M92" s="45" t="n">
        <v>2341</v>
      </c>
      <c r="N92" s="45" t="n">
        <v>39020</v>
      </c>
    </row>
    <row r="93">
      <c r="A93" s="39" t="n">
        <v>6</v>
      </c>
      <c r="B93" s="39" t="inlineStr">
        <is>
          <t>VI</t>
        </is>
      </c>
      <c r="C93" s="40" t="inlineStr">
        <is>
          <t>Thiru-Vi-Ka-Nagar</t>
        </is>
      </c>
      <c r="D93" s="39" t="n">
        <v>2023</v>
      </c>
      <c r="E93" s="39" t="inlineStr">
        <is>
          <t>Historical Observed</t>
        </is>
      </c>
      <c r="F93" s="41" t="n">
        <v>783425.0600000001</v>
      </c>
      <c r="G93" s="41" t="n">
        <v>7169478.043137257</v>
      </c>
      <c r="H93" s="42" t="n">
        <v>7.169478043137257</v>
      </c>
      <c r="I93" s="42" t="n">
        <v>39.4107608855858</v>
      </c>
      <c r="J93" s="40" t="inlineStr">
        <is>
          <t>Linear interpolation between GHSL epochs</t>
        </is>
      </c>
      <c r="K93" s="42" t="n">
        <v>105.7623831</v>
      </c>
      <c r="L93" s="42" t="n">
        <v>2741.98771</v>
      </c>
      <c r="M93" s="41" t="n">
        <v>2350</v>
      </c>
      <c r="N93" s="41" t="n">
        <v>39171</v>
      </c>
    </row>
    <row r="94">
      <c r="A94" s="43" t="n">
        <v>6</v>
      </c>
      <c r="B94" s="43" t="inlineStr">
        <is>
          <t>VI</t>
        </is>
      </c>
      <c r="C94" s="44" t="inlineStr">
        <is>
          <t>Thiru-Vi-Ka-Nagar</t>
        </is>
      </c>
      <c r="D94" s="43" t="n">
        <v>2024</v>
      </c>
      <c r="E94" s="43" t="inlineStr">
        <is>
          <t>Historical Observed</t>
        </is>
      </c>
      <c r="F94" s="45" t="n">
        <v>786395.2</v>
      </c>
      <c r="G94" s="45" t="n">
        <v>7169478.043137257</v>
      </c>
      <c r="H94" s="46" t="n">
        <v>7.169478043137257</v>
      </c>
      <c r="I94" s="46" t="n">
        <v>45.2412189018736</v>
      </c>
      <c r="J94" s="44" t="inlineStr">
        <is>
          <t>Linear interpolation between GHSL epochs</t>
        </is>
      </c>
      <c r="K94" s="46" t="n">
        <v>106.163352</v>
      </c>
      <c r="L94" s="46" t="n">
        <v>2752.3832</v>
      </c>
      <c r="M94" s="45" t="n">
        <v>2359</v>
      </c>
      <c r="N94" s="45" t="n">
        <v>39320</v>
      </c>
    </row>
    <row r="95">
      <c r="A95" s="39" t="n">
        <v>6</v>
      </c>
      <c r="B95" s="39" t="inlineStr">
        <is>
          <t>VI</t>
        </is>
      </c>
      <c r="C95" s="40" t="inlineStr">
        <is>
          <t>Thiru-Vi-Ka-Nagar</t>
        </is>
      </c>
      <c r="D95" s="39" t="n">
        <v>2025</v>
      </c>
      <c r="E95" s="39" t="inlineStr">
        <is>
          <t>Historical Observed</t>
        </is>
      </c>
      <c r="F95" s="41" t="n">
        <v>789317.59</v>
      </c>
      <c r="G95" s="41" t="n">
        <v>7169478.043137257</v>
      </c>
      <c r="H95" s="42" t="n">
        <v>7.169478043137257</v>
      </c>
      <c r="I95" s="42" t="n">
        <v>49.56899073646048</v>
      </c>
      <c r="J95" s="40" t="inlineStr">
        <is>
          <t>Observed GHSL epoch</t>
        </is>
      </c>
      <c r="K95" s="42" t="n">
        <v>106.55787465</v>
      </c>
      <c r="L95" s="42" t="n">
        <v>2762.611565</v>
      </c>
      <c r="M95" s="41" t="n">
        <v>2368</v>
      </c>
      <c r="N95" s="41" t="n">
        <v>39466</v>
      </c>
    </row>
    <row r="96">
      <c r="A96" s="43" t="n">
        <v>6</v>
      </c>
      <c r="B96" s="43" t="inlineStr">
        <is>
          <t>VI</t>
        </is>
      </c>
      <c r="C96" s="44" t="inlineStr">
        <is>
          <t>Thiru-Vi-Ka-Nagar</t>
        </is>
      </c>
      <c r="D96" s="43" t="n">
        <v>2026</v>
      </c>
      <c r="E96" s="43" t="inlineStr">
        <is>
          <t>Historical Observed</t>
        </is>
      </c>
      <c r="F96" s="45" t="n">
        <v>792183.72</v>
      </c>
      <c r="G96" s="45" t="n">
        <v>7169478.043137257</v>
      </c>
      <c r="H96" s="46" t="n">
        <v>7.169478043137257</v>
      </c>
      <c r="I96" s="46" t="n">
        <v>55.02865824078609</v>
      </c>
      <c r="J96" s="44" t="inlineStr">
        <is>
          <t>Linear interpolation between GHSL epochs</t>
        </is>
      </c>
      <c r="K96" s="46" t="n">
        <v>106.9448022</v>
      </c>
      <c r="L96" s="46" t="n">
        <v>2772.64302</v>
      </c>
      <c r="M96" s="45" t="n">
        <v>2377</v>
      </c>
      <c r="N96" s="45" t="n">
        <v>39609</v>
      </c>
    </row>
    <row r="97">
      <c r="A97" s="47" t="n">
        <v>6</v>
      </c>
      <c r="B97" s="47" t="inlineStr">
        <is>
          <t>VI</t>
        </is>
      </c>
      <c r="C97" s="48" t="inlineStr">
        <is>
          <t>Thiru-Vi-Ka-Nagar</t>
        </is>
      </c>
      <c r="D97" s="47" t="n">
        <v>2027</v>
      </c>
      <c r="E97" s="49" t="inlineStr">
        <is>
          <t>Hybrid ML Forecast</t>
        </is>
      </c>
      <c r="F97" s="50" t="n">
        <v>794909.04</v>
      </c>
      <c r="G97" s="50" t="n">
        <v>7169478.043137257</v>
      </c>
      <c r="H97" s="51" t="n">
        <v>7.169478043137257</v>
      </c>
      <c r="I97" s="52" t="n">
        <v>0</v>
      </c>
      <c r="J97" s="48" t="inlineStr">
        <is>
          <t>Linear interpolation between GHSL epochs</t>
        </is>
      </c>
      <c r="K97" s="51" t="n">
        <v>107.3127204</v>
      </c>
      <c r="L97" s="51" t="n">
        <v>2782.18164</v>
      </c>
      <c r="M97" s="50" t="n">
        <v>2385</v>
      </c>
      <c r="N97" s="50" t="n">
        <v>39745</v>
      </c>
    </row>
    <row r="98">
      <c r="A98" s="47" t="n">
        <v>6</v>
      </c>
      <c r="B98" s="47" t="inlineStr">
        <is>
          <t>VI</t>
        </is>
      </c>
      <c r="C98" s="48" t="inlineStr">
        <is>
          <t>Thiru-Vi-Ka-Nagar</t>
        </is>
      </c>
      <c r="D98" s="47" t="n">
        <v>2028</v>
      </c>
      <c r="E98" s="49" t="inlineStr">
        <is>
          <t>Hybrid ML Forecast</t>
        </is>
      </c>
      <c r="F98" s="50" t="n">
        <v>797642.59</v>
      </c>
      <c r="G98" s="50" t="n">
        <v>7169478.043137257</v>
      </c>
      <c r="H98" s="51" t="n">
        <v>7.169478043137257</v>
      </c>
      <c r="I98" s="52" t="n">
        <v>0</v>
      </c>
      <c r="J98" s="48" t="inlineStr">
        <is>
          <t>Linear interpolation between GHSL epochs</t>
        </is>
      </c>
      <c r="K98" s="51" t="n">
        <v>107.68174965</v>
      </c>
      <c r="L98" s="51" t="n">
        <v>2791.749065</v>
      </c>
      <c r="M98" s="50" t="n">
        <v>2393</v>
      </c>
      <c r="N98" s="50" t="n">
        <v>39882</v>
      </c>
    </row>
    <row r="99">
      <c r="A99" s="47" t="n">
        <v>6</v>
      </c>
      <c r="B99" s="47" t="inlineStr">
        <is>
          <t>VI</t>
        </is>
      </c>
      <c r="C99" s="48" t="inlineStr">
        <is>
          <t>Thiru-Vi-Ka-Nagar</t>
        </is>
      </c>
      <c r="D99" s="47" t="n">
        <v>2029</v>
      </c>
      <c r="E99" s="49" t="inlineStr">
        <is>
          <t>Hybrid ML Forecast</t>
        </is>
      </c>
      <c r="F99" s="50" t="n">
        <v>800240.4399999999</v>
      </c>
      <c r="G99" s="50" t="n">
        <v>7169478.043137257</v>
      </c>
      <c r="H99" s="51" t="n">
        <v>7.169478043137257</v>
      </c>
      <c r="I99" s="52" t="n">
        <v>0</v>
      </c>
      <c r="J99" s="48" t="inlineStr">
        <is>
          <t>Linear interpolation between GHSL epochs</t>
        </is>
      </c>
      <c r="K99" s="51" t="n">
        <v>108.0324594</v>
      </c>
      <c r="L99" s="51" t="n">
        <v>2800.84154</v>
      </c>
      <c r="M99" s="50" t="n">
        <v>2401</v>
      </c>
      <c r="N99" s="50" t="n">
        <v>40012</v>
      </c>
    </row>
    <row r="100">
      <c r="A100" s="47" t="n">
        <v>6</v>
      </c>
      <c r="B100" s="47" t="inlineStr">
        <is>
          <t>VI</t>
        </is>
      </c>
      <c r="C100" s="48" t="inlineStr">
        <is>
          <t>Thiru-Vi-Ka-Nagar</t>
        </is>
      </c>
      <c r="D100" s="47" t="n">
        <v>2030</v>
      </c>
      <c r="E100" s="49" t="inlineStr">
        <is>
          <t>Hybrid ML Forecast</t>
        </is>
      </c>
      <c r="F100" s="50" t="n">
        <v>802802.98</v>
      </c>
      <c r="G100" s="50" t="n">
        <v>7169478.043137257</v>
      </c>
      <c r="H100" s="51" t="n">
        <v>7.169478043137257</v>
      </c>
      <c r="I100" s="52" t="n">
        <v>0</v>
      </c>
      <c r="J100" s="48" t="inlineStr">
        <is>
          <t>Observed GHSL epoch</t>
        </is>
      </c>
      <c r="K100" s="51" t="n">
        <v>108.3784023</v>
      </c>
      <c r="L100" s="51" t="n">
        <v>2809.81043</v>
      </c>
      <c r="M100" s="50" t="n">
        <v>2408</v>
      </c>
      <c r="N100" s="50" t="n">
        <v>40140</v>
      </c>
    </row>
    <row r="101">
      <c r="A101" s="39" t="n">
        <v>7</v>
      </c>
      <c r="B101" s="39" t="inlineStr">
        <is>
          <t>VII</t>
        </is>
      </c>
      <c r="C101" s="40" t="inlineStr">
        <is>
          <t>Ambattur</t>
        </is>
      </c>
      <c r="D101" s="39" t="n">
        <v>2015</v>
      </c>
      <c r="E101" s="39" t="inlineStr">
        <is>
          <t>Historical Observed</t>
        </is>
      </c>
      <c r="F101" s="41" t="n">
        <v>703308</v>
      </c>
      <c r="G101" s="41" t="n">
        <v>12432660.20784313</v>
      </c>
      <c r="H101" s="42" t="n">
        <v>12.43266020784313</v>
      </c>
      <c r="I101" s="42" t="n">
        <v>30.42674088269716</v>
      </c>
      <c r="J101" s="40" t="inlineStr">
        <is>
          <t>Observed GHSL epoch</t>
        </is>
      </c>
      <c r="K101" s="42" t="n">
        <v>94.94658</v>
      </c>
      <c r="L101" s="42" t="n">
        <v>2461.578</v>
      </c>
      <c r="M101" s="41" t="n">
        <v>2110</v>
      </c>
      <c r="N101" s="41" t="n">
        <v>35165</v>
      </c>
    </row>
    <row r="102">
      <c r="A102" s="43" t="n">
        <v>7</v>
      </c>
      <c r="B102" s="43" t="inlineStr">
        <is>
          <t>VII</t>
        </is>
      </c>
      <c r="C102" s="44" t="inlineStr">
        <is>
          <t>Ambattur</t>
        </is>
      </c>
      <c r="D102" s="43" t="n">
        <v>2016</v>
      </c>
      <c r="E102" s="43" t="inlineStr">
        <is>
          <t>Historical Observed</t>
        </is>
      </c>
      <c r="F102" s="45" t="n">
        <v>707526.35</v>
      </c>
      <c r="G102" s="45" t="n">
        <v>12487325.14274509</v>
      </c>
      <c r="H102" s="46" t="n">
        <v>12.48732514274509</v>
      </c>
      <c r="I102" s="46" t="n">
        <v>26.15302411703853</v>
      </c>
      <c r="J102" s="44" t="inlineStr">
        <is>
          <t>Linear interpolation between GHSL epochs</t>
        </is>
      </c>
      <c r="K102" s="46" t="n">
        <v>95.51605725</v>
      </c>
      <c r="L102" s="46" t="n">
        <v>2476.342225</v>
      </c>
      <c r="M102" s="45" t="n">
        <v>2123</v>
      </c>
      <c r="N102" s="45" t="n">
        <v>35376</v>
      </c>
    </row>
    <row r="103">
      <c r="A103" s="39" t="n">
        <v>7</v>
      </c>
      <c r="B103" s="39" t="inlineStr">
        <is>
          <t>VII</t>
        </is>
      </c>
      <c r="C103" s="40" t="inlineStr">
        <is>
          <t>Ambattur</t>
        </is>
      </c>
      <c r="D103" s="39" t="n">
        <v>2017</v>
      </c>
      <c r="E103" s="39" t="inlineStr">
        <is>
          <t>Historical Observed</t>
        </is>
      </c>
      <c r="F103" s="41" t="n">
        <v>711786.65</v>
      </c>
      <c r="G103" s="41" t="n">
        <v>12541990.07764705</v>
      </c>
      <c r="H103" s="42" t="n">
        <v>12.54199007764705</v>
      </c>
      <c r="I103" s="42" t="n">
        <v>29.29108615910885</v>
      </c>
      <c r="J103" s="40" t="inlineStr">
        <is>
          <t>Linear interpolation between GHSL epochs</t>
        </is>
      </c>
      <c r="K103" s="42" t="n">
        <v>96.09119775000001</v>
      </c>
      <c r="L103" s="42" t="n">
        <v>2491.253275</v>
      </c>
      <c r="M103" s="41" t="n">
        <v>2135</v>
      </c>
      <c r="N103" s="41" t="n">
        <v>35589</v>
      </c>
    </row>
    <row r="104">
      <c r="A104" s="43" t="n">
        <v>7</v>
      </c>
      <c r="B104" s="43" t="inlineStr">
        <is>
          <t>VII</t>
        </is>
      </c>
      <c r="C104" s="44" t="inlineStr">
        <is>
          <t>Ambattur</t>
        </is>
      </c>
      <c r="D104" s="43" t="n">
        <v>2018</v>
      </c>
      <c r="E104" s="43" t="inlineStr">
        <is>
          <t>Historical Observed</t>
        </is>
      </c>
      <c r="F104" s="45" t="n">
        <v>715623.23</v>
      </c>
      <c r="G104" s="45" t="n">
        <v>12596655.01254901</v>
      </c>
      <c r="H104" s="46" t="n">
        <v>12.59665501254901</v>
      </c>
      <c r="I104" s="46" t="n">
        <v>29.43874018384302</v>
      </c>
      <c r="J104" s="44" t="inlineStr">
        <is>
          <t>Linear interpolation between GHSL epochs</t>
        </is>
      </c>
      <c r="K104" s="46" t="n">
        <v>96.60913605</v>
      </c>
      <c r="L104" s="46" t="n">
        <v>2504.681305</v>
      </c>
      <c r="M104" s="45" t="n">
        <v>2147</v>
      </c>
      <c r="N104" s="45" t="n">
        <v>35781</v>
      </c>
    </row>
    <row r="105">
      <c r="A105" s="39" t="n">
        <v>7</v>
      </c>
      <c r="B105" s="39" t="inlineStr">
        <is>
          <t>VII</t>
        </is>
      </c>
      <c r="C105" s="40" t="inlineStr">
        <is>
          <t>Ambattur</t>
        </is>
      </c>
      <c r="D105" s="39" t="n">
        <v>2019</v>
      </c>
      <c r="E105" s="39" t="inlineStr">
        <is>
          <t>Historical Observed</t>
        </is>
      </c>
      <c r="F105" s="41" t="n">
        <v>719422.11</v>
      </c>
      <c r="G105" s="41" t="n">
        <v>12651319.94745097</v>
      </c>
      <c r="H105" s="42" t="n">
        <v>12.65131994745098</v>
      </c>
      <c r="I105" s="42" t="n">
        <v>33.74568637232544</v>
      </c>
      <c r="J105" s="40" t="inlineStr">
        <is>
          <t>Linear interpolation between GHSL epochs</t>
        </is>
      </c>
      <c r="K105" s="42" t="n">
        <v>97.12198484999999</v>
      </c>
      <c r="L105" s="42" t="n">
        <v>2517.977385</v>
      </c>
      <c r="M105" s="41" t="n">
        <v>2158</v>
      </c>
      <c r="N105" s="41" t="n">
        <v>35971</v>
      </c>
    </row>
    <row r="106">
      <c r="A106" s="43" t="n">
        <v>7</v>
      </c>
      <c r="B106" s="43" t="inlineStr">
        <is>
          <t>VII</t>
        </is>
      </c>
      <c r="C106" s="44" t="inlineStr">
        <is>
          <t>Ambattur</t>
        </is>
      </c>
      <c r="D106" s="43" t="n">
        <v>2020</v>
      </c>
      <c r="E106" s="43" t="inlineStr">
        <is>
          <t>Historical Observed</t>
        </is>
      </c>
      <c r="F106" s="45" t="n">
        <v>722752.8</v>
      </c>
      <c r="G106" s="45" t="n">
        <v>12705984.88235294</v>
      </c>
      <c r="H106" s="46" t="n">
        <v>12.70598488235293</v>
      </c>
      <c r="I106" s="46" t="n">
        <v>30.87117771291976</v>
      </c>
      <c r="J106" s="44" t="inlineStr">
        <is>
          <t>Observed GHSL epoch</t>
        </is>
      </c>
      <c r="K106" s="46" t="n">
        <v>97.571628</v>
      </c>
      <c r="L106" s="46" t="n">
        <v>2529.6348</v>
      </c>
      <c r="M106" s="45" t="n">
        <v>2168</v>
      </c>
      <c r="N106" s="45" t="n">
        <v>36138</v>
      </c>
    </row>
    <row r="107">
      <c r="A107" s="39" t="n">
        <v>7</v>
      </c>
      <c r="B107" s="39" t="inlineStr">
        <is>
          <t>VII</t>
        </is>
      </c>
      <c r="C107" s="40" t="inlineStr">
        <is>
          <t>Ambattur</t>
        </is>
      </c>
      <c r="D107" s="39" t="n">
        <v>2021</v>
      </c>
      <c r="E107" s="39" t="inlineStr">
        <is>
          <t>Historical Observed</t>
        </is>
      </c>
      <c r="F107" s="41" t="n">
        <v>725924</v>
      </c>
      <c r="G107" s="41" t="n">
        <v>12722775.07294117</v>
      </c>
      <c r="H107" s="42" t="n">
        <v>12.72277507294117</v>
      </c>
      <c r="I107" s="42" t="n">
        <v>32.90035574197145</v>
      </c>
      <c r="J107" s="40" t="inlineStr">
        <is>
          <t>Linear interpolation between GHSL epochs</t>
        </is>
      </c>
      <c r="K107" s="42" t="n">
        <v>97.99974</v>
      </c>
      <c r="L107" s="42" t="n">
        <v>2540.734</v>
      </c>
      <c r="M107" s="41" t="n">
        <v>2178</v>
      </c>
      <c r="N107" s="41" t="n">
        <v>36296</v>
      </c>
    </row>
    <row r="108">
      <c r="A108" s="43" t="n">
        <v>7</v>
      </c>
      <c r="B108" s="43" t="inlineStr">
        <is>
          <t>VII</t>
        </is>
      </c>
      <c r="C108" s="44" t="inlineStr">
        <is>
          <t>Ambattur</t>
        </is>
      </c>
      <c r="D108" s="43" t="n">
        <v>2022</v>
      </c>
      <c r="E108" s="43" t="inlineStr">
        <is>
          <t>Historical Observed</t>
        </is>
      </c>
      <c r="F108" s="45" t="n">
        <v>728227.42</v>
      </c>
      <c r="G108" s="45" t="n">
        <v>12739565.2635294</v>
      </c>
      <c r="H108" s="46" t="n">
        <v>12.73956526352941</v>
      </c>
      <c r="I108" s="46" t="n">
        <v>34.52572443670346</v>
      </c>
      <c r="J108" s="44" t="inlineStr">
        <is>
          <t>Linear interpolation between GHSL epochs</t>
        </is>
      </c>
      <c r="K108" s="46" t="n">
        <v>98.31070170000001</v>
      </c>
      <c r="L108" s="46" t="n">
        <v>2548.79597</v>
      </c>
      <c r="M108" s="45" t="n">
        <v>2185</v>
      </c>
      <c r="N108" s="45" t="n">
        <v>36411</v>
      </c>
    </row>
    <row r="109">
      <c r="A109" s="39" t="n">
        <v>7</v>
      </c>
      <c r="B109" s="39" t="inlineStr">
        <is>
          <t>VII</t>
        </is>
      </c>
      <c r="C109" s="40" t="inlineStr">
        <is>
          <t>Ambattur</t>
        </is>
      </c>
      <c r="D109" s="39" t="n">
        <v>2023</v>
      </c>
      <c r="E109" s="39" t="inlineStr">
        <is>
          <t>Historical Observed</t>
        </is>
      </c>
      <c r="F109" s="41" t="n">
        <v>731116.5699999999</v>
      </c>
      <c r="G109" s="41" t="n">
        <v>12756355.45411764</v>
      </c>
      <c r="H109" s="42" t="n">
        <v>12.75635545411764</v>
      </c>
      <c r="I109" s="42" t="n">
        <v>37.78191036402323</v>
      </c>
      <c r="J109" s="40" t="inlineStr">
        <is>
          <t>Linear interpolation between GHSL epochs</t>
        </is>
      </c>
      <c r="K109" s="42" t="n">
        <v>98.70073694999999</v>
      </c>
      <c r="L109" s="42" t="n">
        <v>2558.907995</v>
      </c>
      <c r="M109" s="41" t="n">
        <v>2193</v>
      </c>
      <c r="N109" s="41" t="n">
        <v>36556</v>
      </c>
    </row>
    <row r="110">
      <c r="A110" s="43" t="n">
        <v>7</v>
      </c>
      <c r="B110" s="43" t="inlineStr">
        <is>
          <t>VII</t>
        </is>
      </c>
      <c r="C110" s="44" t="inlineStr">
        <is>
          <t>Ambattur</t>
        </is>
      </c>
      <c r="D110" s="43" t="n">
        <v>2024</v>
      </c>
      <c r="E110" s="43" t="inlineStr">
        <is>
          <t>Historical Observed</t>
        </is>
      </c>
      <c r="F110" s="45" t="n">
        <v>733949.91</v>
      </c>
      <c r="G110" s="45" t="n">
        <v>12773145.64470587</v>
      </c>
      <c r="H110" s="46" t="n">
        <v>12.77314564470587</v>
      </c>
      <c r="I110" s="46" t="n">
        <v>39.98878580032605</v>
      </c>
      <c r="J110" s="44" t="inlineStr">
        <is>
          <t>Linear interpolation between GHSL epochs</t>
        </is>
      </c>
      <c r="K110" s="46" t="n">
        <v>99.08323785</v>
      </c>
      <c r="L110" s="46" t="n">
        <v>2568.824685</v>
      </c>
      <c r="M110" s="45" t="n">
        <v>2202</v>
      </c>
      <c r="N110" s="45" t="n">
        <v>36697</v>
      </c>
    </row>
    <row r="111">
      <c r="A111" s="39" t="n">
        <v>7</v>
      </c>
      <c r="B111" s="39" t="inlineStr">
        <is>
          <t>VII</t>
        </is>
      </c>
      <c r="C111" s="40" t="inlineStr">
        <is>
          <t>Ambattur</t>
        </is>
      </c>
      <c r="D111" s="39" t="n">
        <v>2025</v>
      </c>
      <c r="E111" s="39" t="inlineStr">
        <is>
          <t>Historical Observed</t>
        </is>
      </c>
      <c r="F111" s="41" t="n">
        <v>736784</v>
      </c>
      <c r="G111" s="41" t="n">
        <v>12789935.83529411</v>
      </c>
      <c r="H111" s="42" t="n">
        <v>12.78993583529411</v>
      </c>
      <c r="I111" s="42" t="n">
        <v>42.3549686865354</v>
      </c>
      <c r="J111" s="40" t="inlineStr">
        <is>
          <t>Observed GHSL epoch</t>
        </is>
      </c>
      <c r="K111" s="42" t="n">
        <v>99.46584</v>
      </c>
      <c r="L111" s="42" t="n">
        <v>2578.744</v>
      </c>
      <c r="M111" s="41" t="n">
        <v>2210</v>
      </c>
      <c r="N111" s="41" t="n">
        <v>36839</v>
      </c>
    </row>
    <row r="112">
      <c r="A112" s="43" t="n">
        <v>7</v>
      </c>
      <c r="B112" s="43" t="inlineStr">
        <is>
          <t>VII</t>
        </is>
      </c>
      <c r="C112" s="44" t="inlineStr">
        <is>
          <t>Ambattur</t>
        </is>
      </c>
      <c r="D112" s="43" t="n">
        <v>2026</v>
      </c>
      <c r="E112" s="43" t="inlineStr">
        <is>
          <t>Historical Observed</t>
        </is>
      </c>
      <c r="F112" s="45" t="n">
        <v>739582.16</v>
      </c>
      <c r="G112" s="45" t="n">
        <v>12801289.76549019</v>
      </c>
      <c r="H112" s="46" t="n">
        <v>12.80128976549019</v>
      </c>
      <c r="I112" s="46" t="n">
        <v>44.11511271393622</v>
      </c>
      <c r="J112" s="44" t="inlineStr">
        <is>
          <t>Linear interpolation between GHSL epochs</t>
        </is>
      </c>
      <c r="K112" s="46" t="n">
        <v>99.84359160000001</v>
      </c>
      <c r="L112" s="46" t="n">
        <v>2588.53756</v>
      </c>
      <c r="M112" s="45" t="n">
        <v>2219</v>
      </c>
      <c r="N112" s="45" t="n">
        <v>36979</v>
      </c>
    </row>
    <row r="113">
      <c r="A113" s="47" t="n">
        <v>7</v>
      </c>
      <c r="B113" s="47" t="inlineStr">
        <is>
          <t>VII</t>
        </is>
      </c>
      <c r="C113" s="48" t="inlineStr">
        <is>
          <t>Ambattur</t>
        </is>
      </c>
      <c r="D113" s="47" t="n">
        <v>2027</v>
      </c>
      <c r="E113" s="49" t="inlineStr">
        <is>
          <t>Hybrid ML Forecast</t>
        </is>
      </c>
      <c r="F113" s="50" t="n">
        <v>742221.14</v>
      </c>
      <c r="G113" s="50" t="n">
        <v>12812643.69568627</v>
      </c>
      <c r="H113" s="51" t="n">
        <v>12.81264369568627</v>
      </c>
      <c r="I113" s="52" t="n">
        <v>0</v>
      </c>
      <c r="J113" s="48" t="inlineStr">
        <is>
          <t>Linear interpolation between GHSL epochs</t>
        </is>
      </c>
      <c r="K113" s="51" t="n">
        <v>100.1998539</v>
      </c>
      <c r="L113" s="51" t="n">
        <v>2597.77399</v>
      </c>
      <c r="M113" s="50" t="n">
        <v>2227</v>
      </c>
      <c r="N113" s="50" t="n">
        <v>37111</v>
      </c>
    </row>
    <row r="114">
      <c r="A114" s="47" t="n">
        <v>7</v>
      </c>
      <c r="B114" s="47" t="inlineStr">
        <is>
          <t>VII</t>
        </is>
      </c>
      <c r="C114" s="48" t="inlineStr">
        <is>
          <t>Ambattur</t>
        </is>
      </c>
      <c r="D114" s="47" t="n">
        <v>2028</v>
      </c>
      <c r="E114" s="49" t="inlineStr">
        <is>
          <t>Hybrid ML Forecast</t>
        </is>
      </c>
      <c r="F114" s="50" t="n">
        <v>744845.14</v>
      </c>
      <c r="G114" s="50" t="n">
        <v>12823997.62588235</v>
      </c>
      <c r="H114" s="51" t="n">
        <v>12.82399762588235</v>
      </c>
      <c r="I114" s="52" t="n">
        <v>0</v>
      </c>
      <c r="J114" s="48" t="inlineStr">
        <is>
          <t>Linear interpolation between GHSL epochs</t>
        </is>
      </c>
      <c r="K114" s="51" t="n">
        <v>100.5540939</v>
      </c>
      <c r="L114" s="51" t="n">
        <v>2606.95799</v>
      </c>
      <c r="M114" s="50" t="n">
        <v>2235</v>
      </c>
      <c r="N114" s="50" t="n">
        <v>37242</v>
      </c>
    </row>
    <row r="115">
      <c r="A115" s="47" t="n">
        <v>7</v>
      </c>
      <c r="B115" s="47" t="inlineStr">
        <is>
          <t>VII</t>
        </is>
      </c>
      <c r="C115" s="48" t="inlineStr">
        <is>
          <t>Ambattur</t>
        </is>
      </c>
      <c r="D115" s="47" t="n">
        <v>2029</v>
      </c>
      <c r="E115" s="49" t="inlineStr">
        <is>
          <t>Hybrid ML Forecast</t>
        </is>
      </c>
      <c r="F115" s="50" t="n">
        <v>747365.71</v>
      </c>
      <c r="G115" s="50" t="n">
        <v>12835351.55607842</v>
      </c>
      <c r="H115" s="51" t="n">
        <v>12.83535155607843</v>
      </c>
      <c r="I115" s="52" t="n">
        <v>0</v>
      </c>
      <c r="J115" s="48" t="inlineStr">
        <is>
          <t>Linear interpolation between GHSL epochs</t>
        </is>
      </c>
      <c r="K115" s="51" t="n">
        <v>100.89437085</v>
      </c>
      <c r="L115" s="51" t="n">
        <v>2615.779985</v>
      </c>
      <c r="M115" s="50" t="n">
        <v>2242</v>
      </c>
      <c r="N115" s="50" t="n">
        <v>37368</v>
      </c>
    </row>
    <row r="116">
      <c r="A116" s="47" t="n">
        <v>7</v>
      </c>
      <c r="B116" s="47" t="inlineStr">
        <is>
          <t>VII</t>
        </is>
      </c>
      <c r="C116" s="48" t="inlineStr">
        <is>
          <t>Ambattur</t>
        </is>
      </c>
      <c r="D116" s="47" t="n">
        <v>2030</v>
      </c>
      <c r="E116" s="49" t="inlineStr">
        <is>
          <t>Hybrid ML Forecast</t>
        </is>
      </c>
      <c r="F116" s="50" t="n">
        <v>749844.89</v>
      </c>
      <c r="G116" s="50" t="n">
        <v>12846705.4862745</v>
      </c>
      <c r="H116" s="51" t="n">
        <v>12.8467054862745</v>
      </c>
      <c r="I116" s="52" t="n">
        <v>0</v>
      </c>
      <c r="J116" s="48" t="inlineStr">
        <is>
          <t>Observed GHSL epoch</t>
        </is>
      </c>
      <c r="K116" s="51" t="n">
        <v>101.22906015</v>
      </c>
      <c r="L116" s="51" t="n">
        <v>2624.457115</v>
      </c>
      <c r="M116" s="50" t="n">
        <v>2250</v>
      </c>
      <c r="N116" s="50" t="n">
        <v>37492</v>
      </c>
    </row>
    <row r="117">
      <c r="A117" s="39" t="n">
        <v>8</v>
      </c>
      <c r="B117" s="39" t="inlineStr">
        <is>
          <t>VIII</t>
        </is>
      </c>
      <c r="C117" s="40" t="inlineStr">
        <is>
          <t>Annanagar</t>
        </is>
      </c>
      <c r="D117" s="39" t="n">
        <v>2015</v>
      </c>
      <c r="E117" s="39" t="inlineStr">
        <is>
          <t>Historical Observed</t>
        </is>
      </c>
      <c r="F117" s="41" t="n">
        <v>776333.71</v>
      </c>
      <c r="G117" s="41" t="n">
        <v>9684465.47843137</v>
      </c>
      <c r="H117" s="42" t="n">
        <v>9.68446547843137</v>
      </c>
      <c r="I117" s="42" t="n">
        <v>34.34625916224814</v>
      </c>
      <c r="J117" s="40" t="inlineStr">
        <is>
          <t>Observed GHSL epoch</t>
        </is>
      </c>
      <c r="K117" s="42" t="n">
        <v>104.80505085</v>
      </c>
      <c r="L117" s="42" t="n">
        <v>2717.167985</v>
      </c>
      <c r="M117" s="41" t="n">
        <v>2329</v>
      </c>
      <c r="N117" s="41" t="n">
        <v>38817</v>
      </c>
    </row>
    <row r="118">
      <c r="A118" s="43" t="n">
        <v>8</v>
      </c>
      <c r="B118" s="43" t="inlineStr">
        <is>
          <t>VIII</t>
        </is>
      </c>
      <c r="C118" s="44" t="inlineStr">
        <is>
          <t>Annanagar</t>
        </is>
      </c>
      <c r="D118" s="43" t="n">
        <v>2016</v>
      </c>
      <c r="E118" s="43" t="inlineStr">
        <is>
          <t>Historical Observed</t>
        </is>
      </c>
      <c r="F118" s="45" t="n">
        <v>780910.53</v>
      </c>
      <c r="G118" s="45" t="n">
        <v>9697042.591372546</v>
      </c>
      <c r="H118" s="46" t="n">
        <v>9.697042591372545</v>
      </c>
      <c r="I118" s="46" t="n">
        <v>31.42874879921359</v>
      </c>
      <c r="J118" s="44" t="inlineStr">
        <is>
          <t>Linear interpolation between GHSL epochs</t>
        </is>
      </c>
      <c r="K118" s="46" t="n">
        <v>105.42292155</v>
      </c>
      <c r="L118" s="46" t="n">
        <v>2733.186855</v>
      </c>
      <c r="M118" s="45" t="n">
        <v>2343</v>
      </c>
      <c r="N118" s="45" t="n">
        <v>39046</v>
      </c>
    </row>
    <row r="119">
      <c r="A119" s="39" t="n">
        <v>8</v>
      </c>
      <c r="B119" s="39" t="inlineStr">
        <is>
          <t>VIII</t>
        </is>
      </c>
      <c r="C119" s="40" t="inlineStr">
        <is>
          <t>Annanagar</t>
        </is>
      </c>
      <c r="D119" s="39" t="n">
        <v>2017</v>
      </c>
      <c r="E119" s="39" t="inlineStr">
        <is>
          <t>Historical Observed</t>
        </is>
      </c>
      <c r="F119" s="41" t="n">
        <v>785480.03</v>
      </c>
      <c r="G119" s="41" t="n">
        <v>9709619.704313723</v>
      </c>
      <c r="H119" s="42" t="n">
        <v>9.709619704313724</v>
      </c>
      <c r="I119" s="42" t="n">
        <v>34.23499934415039</v>
      </c>
      <c r="J119" s="40" t="inlineStr">
        <is>
          <t>Linear interpolation between GHSL epochs</t>
        </is>
      </c>
      <c r="K119" s="42" t="n">
        <v>106.03980405</v>
      </c>
      <c r="L119" s="42" t="n">
        <v>2749.180105</v>
      </c>
      <c r="M119" s="41" t="n">
        <v>2356</v>
      </c>
      <c r="N119" s="41" t="n">
        <v>39274</v>
      </c>
    </row>
    <row r="120">
      <c r="A120" s="43" t="n">
        <v>8</v>
      </c>
      <c r="B120" s="43" t="inlineStr">
        <is>
          <t>VIII</t>
        </is>
      </c>
      <c r="C120" s="44" t="inlineStr">
        <is>
          <t>Annanagar</t>
        </is>
      </c>
      <c r="D120" s="43" t="n">
        <v>2018</v>
      </c>
      <c r="E120" s="43" t="inlineStr">
        <is>
          <t>Historical Observed</t>
        </is>
      </c>
      <c r="F120" s="45" t="n">
        <v>789579.71</v>
      </c>
      <c r="G120" s="45" t="n">
        <v>9722196.817254899</v>
      </c>
      <c r="H120" s="46" t="n">
        <v>9.722196817254899</v>
      </c>
      <c r="I120" s="46" t="n">
        <v>34.45350561562859</v>
      </c>
      <c r="J120" s="44" t="inlineStr">
        <is>
          <t>Linear interpolation between GHSL epochs</t>
        </is>
      </c>
      <c r="K120" s="46" t="n">
        <v>106.59326085</v>
      </c>
      <c r="L120" s="46" t="n">
        <v>2763.528985</v>
      </c>
      <c r="M120" s="45" t="n">
        <v>2369</v>
      </c>
      <c r="N120" s="45" t="n">
        <v>39479</v>
      </c>
    </row>
    <row r="121">
      <c r="A121" s="39" t="n">
        <v>8</v>
      </c>
      <c r="B121" s="39" t="inlineStr">
        <is>
          <t>VIII</t>
        </is>
      </c>
      <c r="C121" s="40" t="inlineStr">
        <is>
          <t>Annanagar</t>
        </is>
      </c>
      <c r="D121" s="39" t="n">
        <v>2019</v>
      </c>
      <c r="E121" s="39" t="inlineStr">
        <is>
          <t>Historical Observed</t>
        </is>
      </c>
      <c r="F121" s="41" t="n">
        <v>793579.5</v>
      </c>
      <c r="G121" s="41" t="n">
        <v>9734773.930196077</v>
      </c>
      <c r="H121" s="42" t="n">
        <v>9.734773930196077</v>
      </c>
      <c r="I121" s="42" t="n">
        <v>40.4946457220879</v>
      </c>
      <c r="J121" s="40" t="inlineStr">
        <is>
          <t>Linear interpolation between GHSL epochs</t>
        </is>
      </c>
      <c r="K121" s="42" t="n">
        <v>107.1332325</v>
      </c>
      <c r="L121" s="42" t="n">
        <v>2777.52825</v>
      </c>
      <c r="M121" s="41" t="n">
        <v>2381</v>
      </c>
      <c r="N121" s="41" t="n">
        <v>39679</v>
      </c>
    </row>
    <row r="122">
      <c r="A122" s="43" t="n">
        <v>8</v>
      </c>
      <c r="B122" s="43" t="inlineStr">
        <is>
          <t>VIII</t>
        </is>
      </c>
      <c r="C122" s="44" t="inlineStr">
        <is>
          <t>Annanagar</t>
        </is>
      </c>
      <c r="D122" s="43" t="n">
        <v>2020</v>
      </c>
      <c r="E122" s="43" t="inlineStr">
        <is>
          <t>Historical Observed</t>
        </is>
      </c>
      <c r="F122" s="45" t="n">
        <v>797103.63</v>
      </c>
      <c r="G122" s="45" t="n">
        <v>9747351.043137252</v>
      </c>
      <c r="H122" s="46" t="n">
        <v>9.747351043137252</v>
      </c>
      <c r="I122" s="46" t="n">
        <v>36.50607629362901</v>
      </c>
      <c r="J122" s="44" t="inlineStr">
        <is>
          <t>Observed GHSL epoch</t>
        </is>
      </c>
      <c r="K122" s="46" t="n">
        <v>107.60899005</v>
      </c>
      <c r="L122" s="46" t="n">
        <v>2789.862705</v>
      </c>
      <c r="M122" s="45" t="n">
        <v>2391</v>
      </c>
      <c r="N122" s="45" t="n">
        <v>39855</v>
      </c>
    </row>
    <row r="123">
      <c r="A123" s="39" t="n">
        <v>8</v>
      </c>
      <c r="B123" s="39" t="inlineStr">
        <is>
          <t>VIII</t>
        </is>
      </c>
      <c r="C123" s="40" t="inlineStr">
        <is>
          <t>Annanagar</t>
        </is>
      </c>
      <c r="D123" s="39" t="n">
        <v>2021</v>
      </c>
      <c r="E123" s="39" t="inlineStr">
        <is>
          <t>Historical Observed</t>
        </is>
      </c>
      <c r="F123" s="41" t="n">
        <v>800456</v>
      </c>
      <c r="G123" s="41" t="n">
        <v>9747351.043137252</v>
      </c>
      <c r="H123" s="42" t="n">
        <v>9.747351043137252</v>
      </c>
      <c r="I123" s="42" t="n">
        <v>38.9112509660844</v>
      </c>
      <c r="J123" s="40" t="inlineStr">
        <is>
          <t>Linear interpolation between GHSL epochs</t>
        </is>
      </c>
      <c r="K123" s="42" t="n">
        <v>108.06156</v>
      </c>
      <c r="L123" s="42" t="n">
        <v>2801.596</v>
      </c>
      <c r="M123" s="41" t="n">
        <v>2401</v>
      </c>
      <c r="N123" s="41" t="n">
        <v>40023</v>
      </c>
    </row>
    <row r="124">
      <c r="A124" s="43" t="n">
        <v>8</v>
      </c>
      <c r="B124" s="43" t="inlineStr">
        <is>
          <t>VIII</t>
        </is>
      </c>
      <c r="C124" s="44" t="inlineStr">
        <is>
          <t>Annanagar</t>
        </is>
      </c>
      <c r="D124" s="43" t="n">
        <v>2022</v>
      </c>
      <c r="E124" s="43" t="inlineStr">
        <is>
          <t>Historical Observed</t>
        </is>
      </c>
      <c r="F124" s="45" t="n">
        <v>802863</v>
      </c>
      <c r="G124" s="45" t="n">
        <v>9747351.043137252</v>
      </c>
      <c r="H124" s="46" t="n">
        <v>9.747351043137252</v>
      </c>
      <c r="I124" s="46" t="n">
        <v>39.78392303182975</v>
      </c>
      <c r="J124" s="44" t="inlineStr">
        <is>
          <t>Linear interpolation between GHSL epochs</t>
        </is>
      </c>
      <c r="K124" s="46" t="n">
        <v>108.386505</v>
      </c>
      <c r="L124" s="46" t="n">
        <v>2810.0205</v>
      </c>
      <c r="M124" s="45" t="n">
        <v>2409</v>
      </c>
      <c r="N124" s="45" t="n">
        <v>40143</v>
      </c>
    </row>
    <row r="125">
      <c r="A125" s="39" t="n">
        <v>8</v>
      </c>
      <c r="B125" s="39" t="inlineStr">
        <is>
          <t>VIII</t>
        </is>
      </c>
      <c r="C125" s="40" t="inlineStr">
        <is>
          <t>Annanagar</t>
        </is>
      </c>
      <c r="D125" s="39" t="n">
        <v>2023</v>
      </c>
      <c r="E125" s="39" t="inlineStr">
        <is>
          <t>Historical Observed</t>
        </is>
      </c>
      <c r="F125" s="41" t="n">
        <v>805897.35</v>
      </c>
      <c r="G125" s="41" t="n">
        <v>9747351.043137252</v>
      </c>
      <c r="H125" s="42" t="n">
        <v>9.747351043137252</v>
      </c>
      <c r="I125" s="42" t="n">
        <v>41.85725188471033</v>
      </c>
      <c r="J125" s="40" t="inlineStr">
        <is>
          <t>Linear interpolation between GHSL epochs</t>
        </is>
      </c>
      <c r="K125" s="42" t="n">
        <v>108.79614225</v>
      </c>
      <c r="L125" s="42" t="n">
        <v>2820.640725</v>
      </c>
      <c r="M125" s="41" t="n">
        <v>2418</v>
      </c>
      <c r="N125" s="41" t="n">
        <v>40295</v>
      </c>
    </row>
    <row r="126">
      <c r="A126" s="43" t="n">
        <v>8</v>
      </c>
      <c r="B126" s="43" t="inlineStr">
        <is>
          <t>VIII</t>
        </is>
      </c>
      <c r="C126" s="44" t="inlineStr">
        <is>
          <t>Annanagar</t>
        </is>
      </c>
      <c r="D126" s="43" t="n">
        <v>2024</v>
      </c>
      <c r="E126" s="43" t="inlineStr">
        <is>
          <t>Historical Observed</t>
        </is>
      </c>
      <c r="F126" s="45" t="n">
        <v>808876.11</v>
      </c>
      <c r="G126" s="45" t="n">
        <v>9747351.043137252</v>
      </c>
      <c r="H126" s="46" t="n">
        <v>9.747351043137252</v>
      </c>
      <c r="I126" s="46" t="n">
        <v>45.95240769984473</v>
      </c>
      <c r="J126" s="44" t="inlineStr">
        <is>
          <t>Linear interpolation between GHSL epochs</t>
        </is>
      </c>
      <c r="K126" s="46" t="n">
        <v>109.19827485</v>
      </c>
      <c r="L126" s="46" t="n">
        <v>2831.066385</v>
      </c>
      <c r="M126" s="45" t="n">
        <v>2427</v>
      </c>
      <c r="N126" s="45" t="n">
        <v>40444</v>
      </c>
    </row>
    <row r="127">
      <c r="A127" s="39" t="n">
        <v>8</v>
      </c>
      <c r="B127" s="39" t="inlineStr">
        <is>
          <t>VIII</t>
        </is>
      </c>
      <c r="C127" s="40" t="inlineStr">
        <is>
          <t>Annanagar</t>
        </is>
      </c>
      <c r="D127" s="39" t="n">
        <v>2025</v>
      </c>
      <c r="E127" s="39" t="inlineStr">
        <is>
          <t>Historical Observed</t>
        </is>
      </c>
      <c r="F127" s="41" t="n">
        <v>811812.13</v>
      </c>
      <c r="G127" s="41" t="n">
        <v>9747351.043137252</v>
      </c>
      <c r="H127" s="42" t="n">
        <v>9.747351043137252</v>
      </c>
      <c r="I127" s="42" t="n">
        <v>50.1000225612869</v>
      </c>
      <c r="J127" s="40" t="inlineStr">
        <is>
          <t>Observed GHSL epoch</t>
        </is>
      </c>
      <c r="K127" s="42" t="n">
        <v>109.59463755</v>
      </c>
      <c r="L127" s="42" t="n">
        <v>2841.342455</v>
      </c>
      <c r="M127" s="41" t="n">
        <v>2435</v>
      </c>
      <c r="N127" s="41" t="n">
        <v>40591</v>
      </c>
    </row>
    <row r="128">
      <c r="A128" s="43" t="n">
        <v>8</v>
      </c>
      <c r="B128" s="43" t="inlineStr">
        <is>
          <t>VIII</t>
        </is>
      </c>
      <c r="C128" s="44" t="inlineStr">
        <is>
          <t>Annanagar</t>
        </is>
      </c>
      <c r="D128" s="43" t="n">
        <v>2026</v>
      </c>
      <c r="E128" s="43" t="inlineStr">
        <is>
          <t>Historical Observed</t>
        </is>
      </c>
      <c r="F128" s="45" t="n">
        <v>814702.6899999999</v>
      </c>
      <c r="G128" s="45" t="n">
        <v>9747410.059607841</v>
      </c>
      <c r="H128" s="46" t="n">
        <v>9.747410059607841</v>
      </c>
      <c r="I128" s="46" t="n">
        <v>52.62089978230377</v>
      </c>
      <c r="J128" s="44" t="inlineStr">
        <is>
          <t>Linear interpolation between GHSL epochs</t>
        </is>
      </c>
      <c r="K128" s="46" t="n">
        <v>109.98486315</v>
      </c>
      <c r="L128" s="46" t="n">
        <v>2851.459415</v>
      </c>
      <c r="M128" s="45" t="n">
        <v>2444</v>
      </c>
      <c r="N128" s="45" t="n">
        <v>40735</v>
      </c>
    </row>
    <row r="129">
      <c r="A129" s="47" t="n">
        <v>8</v>
      </c>
      <c r="B129" s="47" t="inlineStr">
        <is>
          <t>VIII</t>
        </is>
      </c>
      <c r="C129" s="48" t="inlineStr">
        <is>
          <t>Annanagar</t>
        </is>
      </c>
      <c r="D129" s="47" t="n">
        <v>2027</v>
      </c>
      <c r="E129" s="49" t="inlineStr">
        <is>
          <t>Hybrid ML Forecast</t>
        </is>
      </c>
      <c r="F129" s="50" t="n">
        <v>817431.8</v>
      </c>
      <c r="G129" s="50" t="n">
        <v>9747469.07607843</v>
      </c>
      <c r="H129" s="51" t="n">
        <v>9.747469076078429</v>
      </c>
      <c r="I129" s="52" t="n">
        <v>0</v>
      </c>
      <c r="J129" s="48" t="inlineStr">
        <is>
          <t>Linear interpolation between GHSL epochs</t>
        </is>
      </c>
      <c r="K129" s="51" t="n">
        <v>110.353293</v>
      </c>
      <c r="L129" s="51" t="n">
        <v>2861.0113</v>
      </c>
      <c r="M129" s="50" t="n">
        <v>2452</v>
      </c>
      <c r="N129" s="50" t="n">
        <v>40872</v>
      </c>
    </row>
    <row r="130">
      <c r="A130" s="47" t="n">
        <v>8</v>
      </c>
      <c r="B130" s="47" t="inlineStr">
        <is>
          <t>VIII</t>
        </is>
      </c>
      <c r="C130" s="48" t="inlineStr">
        <is>
          <t>Annanagar</t>
        </is>
      </c>
      <c r="D130" s="47" t="n">
        <v>2028</v>
      </c>
      <c r="E130" s="49" t="inlineStr">
        <is>
          <t>Hybrid ML Forecast</t>
        </is>
      </c>
      <c r="F130" s="50" t="n">
        <v>820170.96</v>
      </c>
      <c r="G130" s="50" t="n">
        <v>9747528.092549019</v>
      </c>
      <c r="H130" s="51" t="n">
        <v>9.747528092549018</v>
      </c>
      <c r="I130" s="52" t="n">
        <v>0</v>
      </c>
      <c r="J130" s="48" t="inlineStr">
        <is>
          <t>Linear interpolation between GHSL epochs</t>
        </is>
      </c>
      <c r="K130" s="51" t="n">
        <v>110.7230796</v>
      </c>
      <c r="L130" s="51" t="n">
        <v>2870.59836</v>
      </c>
      <c r="M130" s="50" t="n">
        <v>2461</v>
      </c>
      <c r="N130" s="50" t="n">
        <v>41009</v>
      </c>
    </row>
    <row r="131">
      <c r="A131" s="47" t="n">
        <v>8</v>
      </c>
      <c r="B131" s="47" t="inlineStr">
        <is>
          <t>VIII</t>
        </is>
      </c>
      <c r="C131" s="48" t="inlineStr">
        <is>
          <t>Annanagar</t>
        </is>
      </c>
      <c r="D131" s="47" t="n">
        <v>2029</v>
      </c>
      <c r="E131" s="49" t="inlineStr">
        <is>
          <t>Hybrid ML Forecast</t>
        </is>
      </c>
      <c r="F131" s="50" t="n">
        <v>822790.72</v>
      </c>
      <c r="G131" s="50" t="n">
        <v>9747587.109019607</v>
      </c>
      <c r="H131" s="51" t="n">
        <v>9.747587109019607</v>
      </c>
      <c r="I131" s="52" t="n">
        <v>0</v>
      </c>
      <c r="J131" s="48" t="inlineStr">
        <is>
          <t>Linear interpolation between GHSL epochs</t>
        </is>
      </c>
      <c r="K131" s="51" t="n">
        <v>111.0767472</v>
      </c>
      <c r="L131" s="51" t="n">
        <v>2879.76752</v>
      </c>
      <c r="M131" s="50" t="n">
        <v>2468</v>
      </c>
      <c r="N131" s="50" t="n">
        <v>41140</v>
      </c>
    </row>
    <row r="132">
      <c r="A132" s="47" t="n">
        <v>8</v>
      </c>
      <c r="B132" s="47" t="inlineStr">
        <is>
          <t>VIII</t>
        </is>
      </c>
      <c r="C132" s="48" t="inlineStr">
        <is>
          <t>Annanagar</t>
        </is>
      </c>
      <c r="D132" s="47" t="n">
        <v>2030</v>
      </c>
      <c r="E132" s="49" t="inlineStr">
        <is>
          <t>Hybrid ML Forecast</t>
        </is>
      </c>
      <c r="F132" s="50" t="n">
        <v>825373.96</v>
      </c>
      <c r="G132" s="50" t="n">
        <v>9747646.125490196</v>
      </c>
      <c r="H132" s="51" t="n">
        <v>9.747646125490196</v>
      </c>
      <c r="I132" s="52" t="n">
        <v>0</v>
      </c>
      <c r="J132" s="48" t="inlineStr">
        <is>
          <t>Observed GHSL epoch</t>
        </is>
      </c>
      <c r="K132" s="51" t="n">
        <v>111.4254846</v>
      </c>
      <c r="L132" s="51" t="n">
        <v>2888.80886</v>
      </c>
      <c r="M132" s="50" t="n">
        <v>2476</v>
      </c>
      <c r="N132" s="50" t="n">
        <v>41269</v>
      </c>
    </row>
    <row r="133">
      <c r="A133" s="39" t="n">
        <v>9</v>
      </c>
      <c r="B133" s="39" t="inlineStr">
        <is>
          <t>IX</t>
        </is>
      </c>
      <c r="C133" s="40" t="inlineStr">
        <is>
          <t>Teynampet</t>
        </is>
      </c>
      <c r="D133" s="39" t="n">
        <v>2015</v>
      </c>
      <c r="E133" s="39" t="inlineStr">
        <is>
          <t>Historical Observed</t>
        </is>
      </c>
      <c r="F133" s="41" t="n">
        <v>732320.87</v>
      </c>
      <c r="G133" s="41" t="n">
        <v>9781861.607843142</v>
      </c>
      <c r="H133" s="42" t="n">
        <v>9.781861607843142</v>
      </c>
      <c r="I133" s="42" t="n">
        <v>33.96047778577745</v>
      </c>
      <c r="J133" s="40" t="inlineStr">
        <is>
          <t>Observed GHSL epoch</t>
        </is>
      </c>
      <c r="K133" s="42" t="n">
        <v>98.86331745</v>
      </c>
      <c r="L133" s="42" t="n">
        <v>2563.123045</v>
      </c>
      <c r="M133" s="41" t="n">
        <v>2197</v>
      </c>
      <c r="N133" s="41" t="n">
        <v>36616</v>
      </c>
    </row>
    <row r="134">
      <c r="A134" s="43" t="n">
        <v>9</v>
      </c>
      <c r="B134" s="43" t="inlineStr">
        <is>
          <t>IX</t>
        </is>
      </c>
      <c r="C134" s="44" t="inlineStr">
        <is>
          <t>Teynampet</t>
        </is>
      </c>
      <c r="D134" s="43" t="n">
        <v>2016</v>
      </c>
      <c r="E134" s="43" t="inlineStr">
        <is>
          <t>Historical Observed</t>
        </is>
      </c>
      <c r="F134" s="45" t="n">
        <v>736537.0600000001</v>
      </c>
      <c r="G134" s="45" t="n">
        <v>9790157.970196083</v>
      </c>
      <c r="H134" s="46" t="n">
        <v>9.790157970196082</v>
      </c>
      <c r="I134" s="46" t="n">
        <v>32.05718698267128</v>
      </c>
      <c r="J134" s="44" t="inlineStr">
        <is>
          <t>Linear interpolation between GHSL epochs</t>
        </is>
      </c>
      <c r="K134" s="46" t="n">
        <v>99.43250310000001</v>
      </c>
      <c r="L134" s="46" t="n">
        <v>2577.87971</v>
      </c>
      <c r="M134" s="45" t="n">
        <v>2210</v>
      </c>
      <c r="N134" s="45" t="n">
        <v>36827</v>
      </c>
    </row>
    <row r="135">
      <c r="A135" s="39" t="n">
        <v>9</v>
      </c>
      <c r="B135" s="39" t="inlineStr">
        <is>
          <t>IX</t>
        </is>
      </c>
      <c r="C135" s="40" t="inlineStr">
        <is>
          <t>Teynampet</t>
        </is>
      </c>
      <c r="D135" s="39" t="n">
        <v>2017</v>
      </c>
      <c r="E135" s="39" t="inlineStr">
        <is>
          <t>Historical Observed</t>
        </is>
      </c>
      <c r="F135" s="41" t="n">
        <v>740845.0600000001</v>
      </c>
      <c r="G135" s="41" t="n">
        <v>9798454.332549024</v>
      </c>
      <c r="H135" s="42" t="n">
        <v>9.798454332549024</v>
      </c>
      <c r="I135" s="42" t="n">
        <v>36.56626755142456</v>
      </c>
      <c r="J135" s="40" t="inlineStr">
        <is>
          <t>Linear interpolation between GHSL epochs</t>
        </is>
      </c>
      <c r="K135" s="42" t="n">
        <v>100.0140831</v>
      </c>
      <c r="L135" s="42" t="n">
        <v>2592.95771</v>
      </c>
      <c r="M135" s="41" t="n">
        <v>2223</v>
      </c>
      <c r="N135" s="41" t="n">
        <v>37042</v>
      </c>
    </row>
    <row r="136">
      <c r="A136" s="43" t="n">
        <v>9</v>
      </c>
      <c r="B136" s="43" t="inlineStr">
        <is>
          <t>IX</t>
        </is>
      </c>
      <c r="C136" s="44" t="inlineStr">
        <is>
          <t>Teynampet</t>
        </is>
      </c>
      <c r="D136" s="43" t="n">
        <v>2018</v>
      </c>
      <c r="E136" s="43" t="inlineStr">
        <is>
          <t>Historical Observed</t>
        </is>
      </c>
      <c r="F136" s="45" t="n">
        <v>744632.83</v>
      </c>
      <c r="G136" s="45" t="n">
        <v>9806750.694901966</v>
      </c>
      <c r="H136" s="46" t="n">
        <v>9.806750694901966</v>
      </c>
      <c r="I136" s="46" t="n">
        <v>37.03373682378358</v>
      </c>
      <c r="J136" s="44" t="inlineStr">
        <is>
          <t>Linear interpolation between GHSL epochs</t>
        </is>
      </c>
      <c r="K136" s="46" t="n">
        <v>100.52543205</v>
      </c>
      <c r="L136" s="46" t="n">
        <v>2606.214905</v>
      </c>
      <c r="M136" s="45" t="n">
        <v>2234</v>
      </c>
      <c r="N136" s="45" t="n">
        <v>37232</v>
      </c>
    </row>
    <row r="137">
      <c r="A137" s="39" t="n">
        <v>9</v>
      </c>
      <c r="B137" s="39" t="inlineStr">
        <is>
          <t>IX</t>
        </is>
      </c>
      <c r="C137" s="40" t="inlineStr">
        <is>
          <t>Teynampet</t>
        </is>
      </c>
      <c r="D137" s="39" t="n">
        <v>2019</v>
      </c>
      <c r="E137" s="39" t="inlineStr">
        <is>
          <t>Historical Observed</t>
        </is>
      </c>
      <c r="F137" s="41" t="n">
        <v>748317.34</v>
      </c>
      <c r="G137" s="41" t="n">
        <v>9815047.057254907</v>
      </c>
      <c r="H137" s="42" t="n">
        <v>9.815047057254906</v>
      </c>
      <c r="I137" s="42" t="n">
        <v>41.05427959318619</v>
      </c>
      <c r="J137" s="40" t="inlineStr">
        <is>
          <t>Linear interpolation between GHSL epochs</t>
        </is>
      </c>
      <c r="K137" s="42" t="n">
        <v>101.0228409</v>
      </c>
      <c r="L137" s="42" t="n">
        <v>2619.11069</v>
      </c>
      <c r="M137" s="41" t="n">
        <v>2245</v>
      </c>
      <c r="N137" s="41" t="n">
        <v>37416</v>
      </c>
    </row>
    <row r="138">
      <c r="A138" s="43" t="n">
        <v>9</v>
      </c>
      <c r="B138" s="43" t="inlineStr">
        <is>
          <t>IX</t>
        </is>
      </c>
      <c r="C138" s="44" t="inlineStr">
        <is>
          <t>Teynampet</t>
        </is>
      </c>
      <c r="D138" s="43" t="n">
        <v>2020</v>
      </c>
      <c r="E138" s="43" t="inlineStr">
        <is>
          <t>Historical Observed</t>
        </is>
      </c>
      <c r="F138" s="45" t="n">
        <v>751572.83</v>
      </c>
      <c r="G138" s="45" t="n">
        <v>9823343.419607848</v>
      </c>
      <c r="H138" s="46" t="n">
        <v>9.823343419607848</v>
      </c>
      <c r="I138" s="46" t="n">
        <v>37.16075549714751</v>
      </c>
      <c r="J138" s="44" t="inlineStr">
        <is>
          <t>Observed GHSL epoch</t>
        </is>
      </c>
      <c r="K138" s="46" t="n">
        <v>101.46233205</v>
      </c>
      <c r="L138" s="46" t="n">
        <v>2630.504905</v>
      </c>
      <c r="M138" s="45" t="n">
        <v>2255</v>
      </c>
      <c r="N138" s="45" t="n">
        <v>37579</v>
      </c>
    </row>
    <row r="139">
      <c r="A139" s="39" t="n">
        <v>9</v>
      </c>
      <c r="B139" s="39" t="inlineStr">
        <is>
          <t>IX</t>
        </is>
      </c>
      <c r="C139" s="40" t="inlineStr">
        <is>
          <t>Teynampet</t>
        </is>
      </c>
      <c r="D139" s="39" t="n">
        <v>2021</v>
      </c>
      <c r="E139" s="39" t="inlineStr">
        <is>
          <t>Historical Observed</t>
        </is>
      </c>
      <c r="F139" s="41" t="n">
        <v>754670</v>
      </c>
      <c r="G139" s="41" t="n">
        <v>9823644.115294123</v>
      </c>
      <c r="H139" s="42" t="n">
        <v>9.823644115294123</v>
      </c>
      <c r="I139" s="42" t="n">
        <v>40.32862661287523</v>
      </c>
      <c r="J139" s="40" t="inlineStr">
        <is>
          <t>Linear interpolation between GHSL epochs</t>
        </is>
      </c>
      <c r="K139" s="42" t="n">
        <v>101.88045</v>
      </c>
      <c r="L139" s="42" t="n">
        <v>2641.345</v>
      </c>
      <c r="M139" s="41" t="n">
        <v>2264</v>
      </c>
      <c r="N139" s="41" t="n">
        <v>37734</v>
      </c>
    </row>
    <row r="140">
      <c r="A140" s="43" t="n">
        <v>9</v>
      </c>
      <c r="B140" s="43" t="inlineStr">
        <is>
          <t>IX</t>
        </is>
      </c>
      <c r="C140" s="44" t="inlineStr">
        <is>
          <t>Teynampet</t>
        </is>
      </c>
      <c r="D140" s="43" t="n">
        <v>2022</v>
      </c>
      <c r="E140" s="43" t="inlineStr">
        <is>
          <t>Historical Observed</t>
        </is>
      </c>
      <c r="F140" s="45" t="n">
        <v>756888.14</v>
      </c>
      <c r="G140" s="45" t="n">
        <v>9823944.810980396</v>
      </c>
      <c r="H140" s="46" t="n">
        <v>9.823944810980397</v>
      </c>
      <c r="I140" s="46" t="n">
        <v>41.14475656840283</v>
      </c>
      <c r="J140" s="44" t="inlineStr">
        <is>
          <t>Linear interpolation between GHSL epochs</t>
        </is>
      </c>
      <c r="K140" s="46" t="n">
        <v>102.1798989</v>
      </c>
      <c r="L140" s="46" t="n">
        <v>2649.10849</v>
      </c>
      <c r="M140" s="45" t="n">
        <v>2271</v>
      </c>
      <c r="N140" s="45" t="n">
        <v>37844</v>
      </c>
    </row>
    <row r="141">
      <c r="A141" s="39" t="n">
        <v>9</v>
      </c>
      <c r="B141" s="39" t="inlineStr">
        <is>
          <t>IX</t>
        </is>
      </c>
      <c r="C141" s="40" t="inlineStr">
        <is>
          <t>Teynampet</t>
        </is>
      </c>
      <c r="D141" s="39" t="n">
        <v>2023</v>
      </c>
      <c r="E141" s="39" t="inlineStr">
        <is>
          <t>Historical Observed</t>
        </is>
      </c>
      <c r="F141" s="41" t="n">
        <v>759687.71</v>
      </c>
      <c r="G141" s="41" t="n">
        <v>9824245.506666671</v>
      </c>
      <c r="H141" s="42" t="n">
        <v>9.824245506666671</v>
      </c>
      <c r="I141" s="42" t="n">
        <v>47.28943192900324</v>
      </c>
      <c r="J141" s="40" t="inlineStr">
        <is>
          <t>Linear interpolation between GHSL epochs</t>
        </is>
      </c>
      <c r="K141" s="42" t="n">
        <v>102.55784085</v>
      </c>
      <c r="L141" s="42" t="n">
        <v>2658.906985</v>
      </c>
      <c r="M141" s="41" t="n">
        <v>2279</v>
      </c>
      <c r="N141" s="41" t="n">
        <v>37984</v>
      </c>
    </row>
    <row r="142">
      <c r="A142" s="43" t="n">
        <v>9</v>
      </c>
      <c r="B142" s="43" t="inlineStr">
        <is>
          <t>IX</t>
        </is>
      </c>
      <c r="C142" s="44" t="inlineStr">
        <is>
          <t>Teynampet</t>
        </is>
      </c>
      <c r="D142" s="43" t="n">
        <v>2024</v>
      </c>
      <c r="E142" s="43" t="inlineStr">
        <is>
          <t>Historical Observed</t>
        </is>
      </c>
      <c r="F142" s="45" t="n">
        <v>762435.5699999999</v>
      </c>
      <c r="G142" s="45" t="n">
        <v>9824546.202352945</v>
      </c>
      <c r="H142" s="46" t="n">
        <v>9.824546202352945</v>
      </c>
      <c r="I142" s="46" t="n">
        <v>51.55599102120433</v>
      </c>
      <c r="J142" s="44" t="inlineStr">
        <is>
          <t>Linear interpolation between GHSL epochs</t>
        </is>
      </c>
      <c r="K142" s="46" t="n">
        <v>102.92880195</v>
      </c>
      <c r="L142" s="46" t="n">
        <v>2668.524495</v>
      </c>
      <c r="M142" s="45" t="n">
        <v>2287</v>
      </c>
      <c r="N142" s="45" t="n">
        <v>38122</v>
      </c>
    </row>
    <row r="143">
      <c r="A143" s="39" t="n">
        <v>9</v>
      </c>
      <c r="B143" s="39" t="inlineStr">
        <is>
          <t>IX</t>
        </is>
      </c>
      <c r="C143" s="40" t="inlineStr">
        <is>
          <t>Teynampet</t>
        </is>
      </c>
      <c r="D143" s="39" t="n">
        <v>2025</v>
      </c>
      <c r="E143" s="39" t="inlineStr">
        <is>
          <t>Historical Observed</t>
        </is>
      </c>
      <c r="F143" s="41" t="n">
        <v>765165.2</v>
      </c>
      <c r="G143" s="41" t="n">
        <v>9824846.89803922</v>
      </c>
      <c r="H143" s="42" t="n">
        <v>9.824846898039221</v>
      </c>
      <c r="I143" s="42" t="n">
        <v>57.95555957155124</v>
      </c>
      <c r="J143" s="40" t="inlineStr">
        <is>
          <t>Observed GHSL epoch</t>
        </is>
      </c>
      <c r="K143" s="42" t="n">
        <v>103.297302</v>
      </c>
      <c r="L143" s="42" t="n">
        <v>2678.0782</v>
      </c>
      <c r="M143" s="41" t="n">
        <v>2295</v>
      </c>
      <c r="N143" s="41" t="n">
        <v>38258</v>
      </c>
    </row>
    <row r="144">
      <c r="A144" s="43" t="n">
        <v>9</v>
      </c>
      <c r="B144" s="43" t="inlineStr">
        <is>
          <t>IX</t>
        </is>
      </c>
      <c r="C144" s="44" t="inlineStr">
        <is>
          <t>Teynampet</t>
        </is>
      </c>
      <c r="D144" s="43" t="n">
        <v>2026</v>
      </c>
      <c r="E144" s="43" t="inlineStr">
        <is>
          <t>Historical Observed</t>
        </is>
      </c>
      <c r="F144" s="45" t="n">
        <v>767823.5</v>
      </c>
      <c r="G144" s="45" t="n">
        <v>9825115.142745102</v>
      </c>
      <c r="H144" s="46" t="n">
        <v>9.825115142745101</v>
      </c>
      <c r="I144" s="46" t="n">
        <v>61.33471251382395</v>
      </c>
      <c r="J144" s="44" t="inlineStr">
        <is>
          <t>Linear interpolation between GHSL epochs</t>
        </is>
      </c>
      <c r="K144" s="46" t="n">
        <v>103.6561725</v>
      </c>
      <c r="L144" s="46" t="n">
        <v>2687.38225</v>
      </c>
      <c r="M144" s="45" t="n">
        <v>2303</v>
      </c>
      <c r="N144" s="45" t="n">
        <v>38391</v>
      </c>
    </row>
    <row r="145">
      <c r="A145" s="47" t="n">
        <v>9</v>
      </c>
      <c r="B145" s="47" t="inlineStr">
        <is>
          <t>IX</t>
        </is>
      </c>
      <c r="C145" s="48" t="inlineStr">
        <is>
          <t>Teynampet</t>
        </is>
      </c>
      <c r="D145" s="47" t="n">
        <v>2027</v>
      </c>
      <c r="E145" s="49" t="inlineStr">
        <is>
          <t>Hybrid ML Forecast</t>
        </is>
      </c>
      <c r="F145" s="50" t="n">
        <v>770350.11</v>
      </c>
      <c r="G145" s="50" t="n">
        <v>9825383.387450984</v>
      </c>
      <c r="H145" s="51" t="n">
        <v>9.825383387450984</v>
      </c>
      <c r="I145" s="52" t="n">
        <v>0</v>
      </c>
      <c r="J145" s="48" t="inlineStr">
        <is>
          <t>Linear interpolation between GHSL epochs</t>
        </is>
      </c>
      <c r="K145" s="51" t="n">
        <v>103.99726485</v>
      </c>
      <c r="L145" s="51" t="n">
        <v>2696.225385</v>
      </c>
      <c r="M145" s="50" t="n">
        <v>2311</v>
      </c>
      <c r="N145" s="50" t="n">
        <v>38518</v>
      </c>
    </row>
    <row r="146">
      <c r="A146" s="47" t="n">
        <v>9</v>
      </c>
      <c r="B146" s="47" t="inlineStr">
        <is>
          <t>IX</t>
        </is>
      </c>
      <c r="C146" s="48" t="inlineStr">
        <is>
          <t>Teynampet</t>
        </is>
      </c>
      <c r="D146" s="47" t="n">
        <v>2028</v>
      </c>
      <c r="E146" s="49" t="inlineStr">
        <is>
          <t>Hybrid ML Forecast</t>
        </is>
      </c>
      <c r="F146" s="50" t="n">
        <v>772880.74</v>
      </c>
      <c r="G146" s="50" t="n">
        <v>9825651.632156868</v>
      </c>
      <c r="H146" s="51" t="n">
        <v>9.825651632156868</v>
      </c>
      <c r="I146" s="52" t="n">
        <v>0</v>
      </c>
      <c r="J146" s="48" t="inlineStr">
        <is>
          <t>Linear interpolation between GHSL epochs</t>
        </is>
      </c>
      <c r="K146" s="51" t="n">
        <v>104.3388999</v>
      </c>
      <c r="L146" s="51" t="n">
        <v>2705.08259</v>
      </c>
      <c r="M146" s="50" t="n">
        <v>2319</v>
      </c>
      <c r="N146" s="50" t="n">
        <v>38644</v>
      </c>
    </row>
    <row r="147">
      <c r="A147" s="47" t="n">
        <v>9</v>
      </c>
      <c r="B147" s="47" t="inlineStr">
        <is>
          <t>IX</t>
        </is>
      </c>
      <c r="C147" s="48" t="inlineStr">
        <is>
          <t>Teynampet</t>
        </is>
      </c>
      <c r="D147" s="47" t="n">
        <v>2029</v>
      </c>
      <c r="E147" s="49" t="inlineStr">
        <is>
          <t>Hybrid ML Forecast</t>
        </is>
      </c>
      <c r="F147" s="50" t="n">
        <v>775288.48</v>
      </c>
      <c r="G147" s="50" t="n">
        <v>9825919.876862749</v>
      </c>
      <c r="H147" s="51" t="n">
        <v>9.82591987686275</v>
      </c>
      <c r="I147" s="52" t="n">
        <v>0</v>
      </c>
      <c r="J147" s="48" t="inlineStr">
        <is>
          <t>Linear interpolation between GHSL epochs</t>
        </is>
      </c>
      <c r="K147" s="51" t="n">
        <v>104.6639448</v>
      </c>
      <c r="L147" s="51" t="n">
        <v>2713.50968</v>
      </c>
      <c r="M147" s="50" t="n">
        <v>2326</v>
      </c>
      <c r="N147" s="50" t="n">
        <v>38764</v>
      </c>
    </row>
    <row r="148">
      <c r="A148" s="47" t="n">
        <v>9</v>
      </c>
      <c r="B148" s="47" t="inlineStr">
        <is>
          <t>IX</t>
        </is>
      </c>
      <c r="C148" s="48" t="inlineStr">
        <is>
          <t>Teynampet</t>
        </is>
      </c>
      <c r="D148" s="47" t="n">
        <v>2030</v>
      </c>
      <c r="E148" s="49" t="inlineStr">
        <is>
          <t>Hybrid ML Forecast</t>
        </is>
      </c>
      <c r="F148" s="50" t="n">
        <v>777654.21</v>
      </c>
      <c r="G148" s="50" t="n">
        <v>9826188.121568631</v>
      </c>
      <c r="H148" s="51" t="n">
        <v>9.826188121568631</v>
      </c>
      <c r="I148" s="52" t="n">
        <v>0</v>
      </c>
      <c r="J148" s="48" t="inlineStr">
        <is>
          <t>Observed GHSL epoch</t>
        </is>
      </c>
      <c r="K148" s="51" t="n">
        <v>104.98331835</v>
      </c>
      <c r="L148" s="51" t="n">
        <v>2721.789735</v>
      </c>
      <c r="M148" s="50" t="n">
        <v>2333</v>
      </c>
      <c r="N148" s="50" t="n">
        <v>38883</v>
      </c>
    </row>
    <row r="149">
      <c r="A149" s="39" t="n">
        <v>10</v>
      </c>
      <c r="B149" s="39" t="inlineStr">
        <is>
          <t>X</t>
        </is>
      </c>
      <c r="C149" s="40" t="inlineStr">
        <is>
          <t>Kodambakkam</t>
        </is>
      </c>
      <c r="D149" s="39" t="n">
        <v>2015</v>
      </c>
      <c r="E149" s="39" t="inlineStr">
        <is>
          <t>Historical Observed</t>
        </is>
      </c>
      <c r="F149" s="41" t="n">
        <v>852970.87</v>
      </c>
      <c r="G149" s="41" t="n">
        <v>9786656.101960786</v>
      </c>
      <c r="H149" s="42" t="n">
        <v>9.786656101960785</v>
      </c>
      <c r="I149" s="42" t="n">
        <v>38.77800057682007</v>
      </c>
      <c r="J149" s="40" t="inlineStr">
        <is>
          <t>Observed GHSL epoch</t>
        </is>
      </c>
      <c r="K149" s="42" t="n">
        <v>115.15106745</v>
      </c>
      <c r="L149" s="42" t="n">
        <v>2985.398045</v>
      </c>
      <c r="M149" s="41" t="n">
        <v>2559</v>
      </c>
      <c r="N149" s="41" t="n">
        <v>42649</v>
      </c>
    </row>
    <row r="150">
      <c r="A150" s="43" t="n">
        <v>10</v>
      </c>
      <c r="B150" s="43" t="inlineStr">
        <is>
          <t>X</t>
        </is>
      </c>
      <c r="C150" s="44" t="inlineStr">
        <is>
          <t>Kodambakkam</t>
        </is>
      </c>
      <c r="D150" s="43" t="n">
        <v>2016</v>
      </c>
      <c r="E150" s="43" t="inlineStr">
        <is>
          <t>Historical Observed</t>
        </is>
      </c>
      <c r="F150" s="45" t="n">
        <v>858008.92</v>
      </c>
      <c r="G150" s="45" t="n">
        <v>9792783.137254903</v>
      </c>
      <c r="H150" s="46" t="n">
        <v>9.792783137254903</v>
      </c>
      <c r="I150" s="46" t="n">
        <v>35.43870264149056</v>
      </c>
      <c r="J150" s="44" t="inlineStr">
        <is>
          <t>Linear interpolation between GHSL epochs</t>
        </is>
      </c>
      <c r="K150" s="46" t="n">
        <v>115.8312042</v>
      </c>
      <c r="L150" s="46" t="n">
        <v>3003.03122</v>
      </c>
      <c r="M150" s="45" t="n">
        <v>2574</v>
      </c>
      <c r="N150" s="45" t="n">
        <v>42900</v>
      </c>
    </row>
    <row r="151">
      <c r="A151" s="39" t="n">
        <v>10</v>
      </c>
      <c r="B151" s="39" t="inlineStr">
        <is>
          <t>X</t>
        </is>
      </c>
      <c r="C151" s="40" t="inlineStr">
        <is>
          <t>Kodambakkam</t>
        </is>
      </c>
      <c r="D151" s="39" t="n">
        <v>2017</v>
      </c>
      <c r="E151" s="39" t="inlineStr">
        <is>
          <t>Historical Observed</t>
        </is>
      </c>
      <c r="F151" s="41" t="n">
        <v>863147.1899999999</v>
      </c>
      <c r="G151" s="41" t="n">
        <v>9798910.17254902</v>
      </c>
      <c r="H151" s="42" t="n">
        <v>9.79891017254902</v>
      </c>
      <c r="I151" s="42" t="n">
        <v>38.08659023813921</v>
      </c>
      <c r="J151" s="40" t="inlineStr">
        <is>
          <t>Linear interpolation between GHSL epochs</t>
        </is>
      </c>
      <c r="K151" s="42" t="n">
        <v>116.52487065</v>
      </c>
      <c r="L151" s="42" t="n">
        <v>3021.015165</v>
      </c>
      <c r="M151" s="41" t="n">
        <v>2589</v>
      </c>
      <c r="N151" s="41" t="n">
        <v>43157</v>
      </c>
    </row>
    <row r="152">
      <c r="A152" s="43" t="n">
        <v>10</v>
      </c>
      <c r="B152" s="43" t="inlineStr">
        <is>
          <t>X</t>
        </is>
      </c>
      <c r="C152" s="44" t="inlineStr">
        <is>
          <t>Kodambakkam</t>
        </is>
      </c>
      <c r="D152" s="43" t="n">
        <v>2018</v>
      </c>
      <c r="E152" s="43" t="inlineStr">
        <is>
          <t>Historical Observed</t>
        </is>
      </c>
      <c r="F152" s="45" t="n">
        <v>867670.71</v>
      </c>
      <c r="G152" s="45" t="n">
        <v>9805037.207843138</v>
      </c>
      <c r="H152" s="46" t="n">
        <v>9.805037207843139</v>
      </c>
      <c r="I152" s="46" t="n">
        <v>37.60975624684276</v>
      </c>
      <c r="J152" s="44" t="inlineStr">
        <is>
          <t>Linear interpolation between GHSL epochs</t>
        </is>
      </c>
      <c r="K152" s="46" t="n">
        <v>117.13554585</v>
      </c>
      <c r="L152" s="46" t="n">
        <v>3036.847485</v>
      </c>
      <c r="M152" s="45" t="n">
        <v>2603</v>
      </c>
      <c r="N152" s="45" t="n">
        <v>43384</v>
      </c>
    </row>
    <row r="153">
      <c r="A153" s="39" t="n">
        <v>10</v>
      </c>
      <c r="B153" s="39" t="inlineStr">
        <is>
          <t>X</t>
        </is>
      </c>
      <c r="C153" s="40" t="inlineStr">
        <is>
          <t>Kodambakkam</t>
        </is>
      </c>
      <c r="D153" s="39" t="n">
        <v>2019</v>
      </c>
      <c r="E153" s="39" t="inlineStr">
        <is>
          <t>Historical Observed</t>
        </is>
      </c>
      <c r="F153" s="41" t="n">
        <v>872059.25</v>
      </c>
      <c r="G153" s="41" t="n">
        <v>9811164.243137255</v>
      </c>
      <c r="H153" s="42" t="n">
        <v>9.811164243137256</v>
      </c>
      <c r="I153" s="42" t="n">
        <v>42.30296317210781</v>
      </c>
      <c r="J153" s="40" t="inlineStr">
        <is>
          <t>Linear interpolation between GHSL epochs</t>
        </is>
      </c>
      <c r="K153" s="42" t="n">
        <v>117.72799875</v>
      </c>
      <c r="L153" s="42" t="n">
        <v>3052.207375</v>
      </c>
      <c r="M153" s="41" t="n">
        <v>2616</v>
      </c>
      <c r="N153" s="41" t="n">
        <v>43603</v>
      </c>
    </row>
    <row r="154">
      <c r="A154" s="43" t="n">
        <v>10</v>
      </c>
      <c r="B154" s="43" t="inlineStr">
        <is>
          <t>X</t>
        </is>
      </c>
      <c r="C154" s="44" t="inlineStr">
        <is>
          <t>Kodambakkam</t>
        </is>
      </c>
      <c r="D154" s="43" t="n">
        <v>2020</v>
      </c>
      <c r="E154" s="43" t="inlineStr">
        <is>
          <t>Historical Observed</t>
        </is>
      </c>
      <c r="F154" s="45" t="n">
        <v>875915.67</v>
      </c>
      <c r="G154" s="45" t="n">
        <v>9817291.278431373</v>
      </c>
      <c r="H154" s="46" t="n">
        <v>9.817291278431373</v>
      </c>
      <c r="I154" s="46" t="n">
        <v>38.55200381647813</v>
      </c>
      <c r="J154" s="44" t="inlineStr">
        <is>
          <t>Observed GHSL epoch</t>
        </is>
      </c>
      <c r="K154" s="46" t="n">
        <v>118.24861545</v>
      </c>
      <c r="L154" s="46" t="n">
        <v>3065.704845</v>
      </c>
      <c r="M154" s="45" t="n">
        <v>2628</v>
      </c>
      <c r="N154" s="45" t="n">
        <v>43796</v>
      </c>
    </row>
    <row r="155">
      <c r="A155" s="39" t="n">
        <v>10</v>
      </c>
      <c r="B155" s="39" t="inlineStr">
        <is>
          <t>X</t>
        </is>
      </c>
      <c r="C155" s="40" t="inlineStr">
        <is>
          <t>Kodambakkam</t>
        </is>
      </c>
      <c r="D155" s="39" t="n">
        <v>2021</v>
      </c>
      <c r="E155" s="39" t="inlineStr">
        <is>
          <t>Historical Observed</t>
        </is>
      </c>
      <c r="F155" s="41" t="n">
        <v>879595</v>
      </c>
      <c r="G155" s="41" t="n">
        <v>9818617.078431373</v>
      </c>
      <c r="H155" s="42" t="n">
        <v>9.818617078431373</v>
      </c>
      <c r="I155" s="42" t="n">
        <v>42.98065060193271</v>
      </c>
      <c r="J155" s="40" t="inlineStr">
        <is>
          <t>Linear interpolation between GHSL epochs</t>
        </is>
      </c>
      <c r="K155" s="42" t="n">
        <v>118.745325</v>
      </c>
      <c r="L155" s="42" t="n">
        <v>3078.5825</v>
      </c>
      <c r="M155" s="41" t="n">
        <v>2639</v>
      </c>
      <c r="N155" s="41" t="n">
        <v>43980</v>
      </c>
    </row>
    <row r="156">
      <c r="A156" s="43" t="n">
        <v>10</v>
      </c>
      <c r="B156" s="43" t="inlineStr">
        <is>
          <t>X</t>
        </is>
      </c>
      <c r="C156" s="44" t="inlineStr">
        <is>
          <t>Kodambakkam</t>
        </is>
      </c>
      <c r="D156" s="43" t="n">
        <v>2022</v>
      </c>
      <c r="E156" s="43" t="inlineStr">
        <is>
          <t>Historical Observed</t>
        </is>
      </c>
      <c r="F156" s="45" t="n">
        <v>882225.23</v>
      </c>
      <c r="G156" s="45" t="n">
        <v>9819942.878431374</v>
      </c>
      <c r="H156" s="46" t="n">
        <v>9.819942878431375</v>
      </c>
      <c r="I156" s="46" t="n">
        <v>44.64927792714936</v>
      </c>
      <c r="J156" s="44" t="inlineStr">
        <is>
          <t>Linear interpolation between GHSL epochs</t>
        </is>
      </c>
      <c r="K156" s="46" t="n">
        <v>119.10040605</v>
      </c>
      <c r="L156" s="46" t="n">
        <v>3087.788305</v>
      </c>
      <c r="M156" s="45" t="n">
        <v>2647</v>
      </c>
      <c r="N156" s="45" t="n">
        <v>44111</v>
      </c>
    </row>
    <row r="157">
      <c r="A157" s="39" t="n">
        <v>10</v>
      </c>
      <c r="B157" s="39" t="inlineStr">
        <is>
          <t>X</t>
        </is>
      </c>
      <c r="C157" s="40" t="inlineStr">
        <is>
          <t>Kodambakkam</t>
        </is>
      </c>
      <c r="D157" s="39" t="n">
        <v>2023</v>
      </c>
      <c r="E157" s="39" t="inlineStr">
        <is>
          <t>Historical Observed</t>
        </is>
      </c>
      <c r="F157" s="41" t="n">
        <v>885543.29</v>
      </c>
      <c r="G157" s="41" t="n">
        <v>9821268.678431375</v>
      </c>
      <c r="H157" s="42" t="n">
        <v>9.821268678431375</v>
      </c>
      <c r="I157" s="42" t="n">
        <v>48.868858446089</v>
      </c>
      <c r="J157" s="40" t="inlineStr">
        <is>
          <t>Linear interpolation between GHSL epochs</t>
        </is>
      </c>
      <c r="K157" s="42" t="n">
        <v>119.54834415</v>
      </c>
      <c r="L157" s="42" t="n">
        <v>3099.401515</v>
      </c>
      <c r="M157" s="41" t="n">
        <v>2657</v>
      </c>
      <c r="N157" s="41" t="n">
        <v>44277</v>
      </c>
    </row>
    <row r="158">
      <c r="A158" s="43" t="n">
        <v>10</v>
      </c>
      <c r="B158" s="43" t="inlineStr">
        <is>
          <t>X</t>
        </is>
      </c>
      <c r="C158" s="44" t="inlineStr">
        <is>
          <t>Kodambakkam</t>
        </is>
      </c>
      <c r="D158" s="43" t="n">
        <v>2024</v>
      </c>
      <c r="E158" s="43" t="inlineStr">
        <is>
          <t>Historical Observed</t>
        </is>
      </c>
      <c r="F158" s="45" t="n">
        <v>888802.38</v>
      </c>
      <c r="G158" s="45" t="n">
        <v>9822594.478431376</v>
      </c>
      <c r="H158" s="46" t="n">
        <v>9.822594478431375</v>
      </c>
      <c r="I158" s="46" t="n">
        <v>51.10424011275261</v>
      </c>
      <c r="J158" s="44" t="inlineStr">
        <is>
          <t>Linear interpolation between GHSL epochs</t>
        </is>
      </c>
      <c r="K158" s="46" t="n">
        <v>119.9883213</v>
      </c>
      <c r="L158" s="46" t="n">
        <v>3110.80833</v>
      </c>
      <c r="M158" s="45" t="n">
        <v>2666</v>
      </c>
      <c r="N158" s="45" t="n">
        <v>44440</v>
      </c>
    </row>
    <row r="159">
      <c r="A159" s="39" t="n">
        <v>10</v>
      </c>
      <c r="B159" s="39" t="inlineStr">
        <is>
          <t>X</t>
        </is>
      </c>
      <c r="C159" s="40" t="inlineStr">
        <is>
          <t>Kodambakkam</t>
        </is>
      </c>
      <c r="D159" s="39" t="n">
        <v>2025</v>
      </c>
      <c r="E159" s="39" t="inlineStr">
        <is>
          <t>Historical Observed</t>
        </is>
      </c>
      <c r="F159" s="41" t="n">
        <v>892037.86</v>
      </c>
      <c r="G159" s="41" t="n">
        <v>9823920.278431376</v>
      </c>
      <c r="H159" s="42" t="n">
        <v>9.823920278431377</v>
      </c>
      <c r="I159" s="42" t="n">
        <v>54.34128971404788</v>
      </c>
      <c r="J159" s="40" t="inlineStr">
        <is>
          <t>Observed GHSL epoch</t>
        </is>
      </c>
      <c r="K159" s="42" t="n">
        <v>120.4251111</v>
      </c>
      <c r="L159" s="42" t="n">
        <v>3122.13251</v>
      </c>
      <c r="M159" s="41" t="n">
        <v>2676</v>
      </c>
      <c r="N159" s="41" t="n">
        <v>44602</v>
      </c>
    </row>
    <row r="160">
      <c r="A160" s="43" t="n">
        <v>10</v>
      </c>
      <c r="B160" s="43" t="inlineStr">
        <is>
          <t>X</t>
        </is>
      </c>
      <c r="C160" s="44" t="inlineStr">
        <is>
          <t>Kodambakkam</t>
        </is>
      </c>
      <c r="D160" s="43" t="n">
        <v>2026</v>
      </c>
      <c r="E160" s="43" t="inlineStr">
        <is>
          <t>Historical Observed</t>
        </is>
      </c>
      <c r="F160" s="45" t="n">
        <v>895182.09</v>
      </c>
      <c r="G160" s="45" t="n">
        <v>9824083.278431376</v>
      </c>
      <c r="H160" s="46" t="n">
        <v>9.824083278431376</v>
      </c>
      <c r="I160" s="46" t="n">
        <v>55.69165066105779</v>
      </c>
      <c r="J160" s="44" t="inlineStr">
        <is>
          <t>Linear interpolation between GHSL epochs</t>
        </is>
      </c>
      <c r="K160" s="46" t="n">
        <v>120.84958215</v>
      </c>
      <c r="L160" s="46" t="n">
        <v>3133.137315</v>
      </c>
      <c r="M160" s="45" t="n">
        <v>2686</v>
      </c>
      <c r="N160" s="45" t="n">
        <v>44759</v>
      </c>
    </row>
    <row r="161">
      <c r="A161" s="47" t="n">
        <v>10</v>
      </c>
      <c r="B161" s="47" t="inlineStr">
        <is>
          <t>X</t>
        </is>
      </c>
      <c r="C161" s="48" t="inlineStr">
        <is>
          <t>Kodambakkam</t>
        </is>
      </c>
      <c r="D161" s="47" t="n">
        <v>2027</v>
      </c>
      <c r="E161" s="49" t="inlineStr">
        <is>
          <t>Hybrid ML Forecast</t>
        </is>
      </c>
      <c r="F161" s="50" t="n">
        <v>898170.45</v>
      </c>
      <c r="G161" s="50" t="n">
        <v>9824246.278431376</v>
      </c>
      <c r="H161" s="51" t="n">
        <v>9.824246278431376</v>
      </c>
      <c r="I161" s="52" t="n">
        <v>0</v>
      </c>
      <c r="J161" s="48" t="inlineStr">
        <is>
          <t>Linear interpolation between GHSL epochs</t>
        </is>
      </c>
      <c r="K161" s="51" t="n">
        <v>121.25301075</v>
      </c>
      <c r="L161" s="51" t="n">
        <v>3143.596575</v>
      </c>
      <c r="M161" s="50" t="n">
        <v>2695</v>
      </c>
      <c r="N161" s="50" t="n">
        <v>44909</v>
      </c>
    </row>
    <row r="162">
      <c r="A162" s="47" t="n">
        <v>10</v>
      </c>
      <c r="B162" s="47" t="inlineStr">
        <is>
          <t>X</t>
        </is>
      </c>
      <c r="C162" s="48" t="inlineStr">
        <is>
          <t>Kodambakkam</t>
        </is>
      </c>
      <c r="D162" s="47" t="n">
        <v>2028</v>
      </c>
      <c r="E162" s="49" t="inlineStr">
        <is>
          <t>Hybrid ML Forecast</t>
        </is>
      </c>
      <c r="F162" s="50" t="n">
        <v>901173.25</v>
      </c>
      <c r="G162" s="50" t="n">
        <v>9824409.278431376</v>
      </c>
      <c r="H162" s="51" t="n">
        <v>9.824409278431377</v>
      </c>
      <c r="I162" s="52" t="n">
        <v>0</v>
      </c>
      <c r="J162" s="48" t="inlineStr">
        <is>
          <t>Linear interpolation between GHSL epochs</t>
        </is>
      </c>
      <c r="K162" s="51" t="n">
        <v>121.65838875</v>
      </c>
      <c r="L162" s="51" t="n">
        <v>3154.106375</v>
      </c>
      <c r="M162" s="50" t="n">
        <v>2704</v>
      </c>
      <c r="N162" s="50" t="n">
        <v>45059</v>
      </c>
    </row>
    <row r="163">
      <c r="A163" s="47" t="n">
        <v>10</v>
      </c>
      <c r="B163" s="47" t="inlineStr">
        <is>
          <t>X</t>
        </is>
      </c>
      <c r="C163" s="48" t="inlineStr">
        <is>
          <t>Kodambakkam</t>
        </is>
      </c>
      <c r="D163" s="47" t="n">
        <v>2029</v>
      </c>
      <c r="E163" s="49" t="inlineStr">
        <is>
          <t>Hybrid ML Forecast</t>
        </is>
      </c>
      <c r="F163" s="50" t="n">
        <v>904027.46</v>
      </c>
      <c r="G163" s="50" t="n">
        <v>9824572.278431376</v>
      </c>
      <c r="H163" s="51" t="n">
        <v>9.824572278431376</v>
      </c>
      <c r="I163" s="52" t="n">
        <v>0</v>
      </c>
      <c r="J163" s="48" t="inlineStr">
        <is>
          <t>Linear interpolation between GHSL epochs</t>
        </is>
      </c>
      <c r="K163" s="51" t="n">
        <v>122.0437071</v>
      </c>
      <c r="L163" s="51" t="n">
        <v>3164.09611</v>
      </c>
      <c r="M163" s="50" t="n">
        <v>2712</v>
      </c>
      <c r="N163" s="50" t="n">
        <v>45201</v>
      </c>
    </row>
    <row r="164">
      <c r="A164" s="47" t="n">
        <v>10</v>
      </c>
      <c r="B164" s="47" t="inlineStr">
        <is>
          <t>X</t>
        </is>
      </c>
      <c r="C164" s="48" t="inlineStr">
        <is>
          <t>Kodambakkam</t>
        </is>
      </c>
      <c r="D164" s="47" t="n">
        <v>2030</v>
      </c>
      <c r="E164" s="49" t="inlineStr">
        <is>
          <t>Hybrid ML Forecast</t>
        </is>
      </c>
      <c r="F164" s="50" t="n">
        <v>906829.46</v>
      </c>
      <c r="G164" s="50" t="n">
        <v>9824735.278431376</v>
      </c>
      <c r="H164" s="51" t="n">
        <v>9.824735278431376</v>
      </c>
      <c r="I164" s="52" t="n">
        <v>0</v>
      </c>
      <c r="J164" s="48" t="inlineStr">
        <is>
          <t>Observed GHSL epoch</t>
        </is>
      </c>
      <c r="K164" s="51" t="n">
        <v>122.4219771</v>
      </c>
      <c r="L164" s="51" t="n">
        <v>3173.90311</v>
      </c>
      <c r="M164" s="50" t="n">
        <v>2720</v>
      </c>
      <c r="N164" s="50" t="n">
        <v>45341</v>
      </c>
    </row>
    <row r="165">
      <c r="A165" s="39" t="n">
        <v>11</v>
      </c>
      <c r="B165" s="39" t="inlineStr">
        <is>
          <t>XI</t>
        </is>
      </c>
      <c r="C165" s="40" t="inlineStr">
        <is>
          <t>Valasaravakkam</t>
        </is>
      </c>
      <c r="D165" s="39" t="n">
        <v>2015</v>
      </c>
      <c r="E165" s="39" t="inlineStr">
        <is>
          <t>Historical Observed</t>
        </is>
      </c>
      <c r="F165" s="41" t="n">
        <v>363771.61</v>
      </c>
      <c r="G165" s="41" t="n">
        <v>8389488.12549019</v>
      </c>
      <c r="H165" s="42" t="n">
        <v>8.389488125490191</v>
      </c>
      <c r="I165" s="42" t="n">
        <v>37.670545021805</v>
      </c>
      <c r="J165" s="40" t="inlineStr">
        <is>
          <t>Observed GHSL epoch</t>
        </is>
      </c>
      <c r="K165" s="42" t="n">
        <v>49.10916735</v>
      </c>
      <c r="L165" s="42" t="n">
        <v>1273.200635</v>
      </c>
      <c r="M165" s="41" t="n">
        <v>1091</v>
      </c>
      <c r="N165" s="41" t="n">
        <v>18189</v>
      </c>
    </row>
    <row r="166">
      <c r="A166" s="43" t="n">
        <v>11</v>
      </c>
      <c r="B166" s="43" t="inlineStr">
        <is>
          <t>XI</t>
        </is>
      </c>
      <c r="C166" s="44" t="inlineStr">
        <is>
          <t>Valasaravakkam</t>
        </is>
      </c>
      <c r="D166" s="43" t="n">
        <v>2016</v>
      </c>
      <c r="E166" s="43" t="inlineStr">
        <is>
          <t>Historical Observed</t>
        </is>
      </c>
      <c r="F166" s="45" t="n">
        <v>365928.25</v>
      </c>
      <c r="G166" s="45" t="n">
        <v>8402519.647843132</v>
      </c>
      <c r="H166" s="46" t="n">
        <v>8.402519647843132</v>
      </c>
      <c r="I166" s="46" t="n">
        <v>34.3702171701048</v>
      </c>
      <c r="J166" s="44" t="inlineStr">
        <is>
          <t>Linear interpolation between GHSL epochs</t>
        </is>
      </c>
      <c r="K166" s="46" t="n">
        <v>49.40031375</v>
      </c>
      <c r="L166" s="46" t="n">
        <v>1280.748875</v>
      </c>
      <c r="M166" s="45" t="n">
        <v>1098</v>
      </c>
      <c r="N166" s="45" t="n">
        <v>18296</v>
      </c>
    </row>
    <row r="167">
      <c r="A167" s="39" t="n">
        <v>11</v>
      </c>
      <c r="B167" s="39" t="inlineStr">
        <is>
          <t>XI</t>
        </is>
      </c>
      <c r="C167" s="40" t="inlineStr">
        <is>
          <t>Valasaravakkam</t>
        </is>
      </c>
      <c r="D167" s="39" t="n">
        <v>2017</v>
      </c>
      <c r="E167" s="39" t="inlineStr">
        <is>
          <t>Historical Observed</t>
        </is>
      </c>
      <c r="F167" s="41" t="n">
        <v>368088.18</v>
      </c>
      <c r="G167" s="41" t="n">
        <v>8415551.170196073</v>
      </c>
      <c r="H167" s="42" t="n">
        <v>8.415551170196073</v>
      </c>
      <c r="I167" s="42" t="n">
        <v>36.59527694581081</v>
      </c>
      <c r="J167" s="40" t="inlineStr">
        <is>
          <t>Linear interpolation between GHSL epochs</t>
        </is>
      </c>
      <c r="K167" s="42" t="n">
        <v>49.6919043</v>
      </c>
      <c r="L167" s="42" t="n">
        <v>1288.30863</v>
      </c>
      <c r="M167" s="41" t="n">
        <v>1104</v>
      </c>
      <c r="N167" s="41" t="n">
        <v>18404</v>
      </c>
    </row>
    <row r="168">
      <c r="A168" s="43" t="n">
        <v>11</v>
      </c>
      <c r="B168" s="43" t="inlineStr">
        <is>
          <t>XI</t>
        </is>
      </c>
      <c r="C168" s="44" t="inlineStr">
        <is>
          <t>Valasaravakkam</t>
        </is>
      </c>
      <c r="D168" s="43" t="n">
        <v>2018</v>
      </c>
      <c r="E168" s="43" t="inlineStr">
        <is>
          <t>Historical Observed</t>
        </is>
      </c>
      <c r="F168" s="45" t="n">
        <v>370025.69</v>
      </c>
      <c r="G168" s="45" t="n">
        <v>8428582.692549013</v>
      </c>
      <c r="H168" s="46" t="n">
        <v>8.428582692549012</v>
      </c>
      <c r="I168" s="46" t="n">
        <v>37.89217107873002</v>
      </c>
      <c r="J168" s="44" t="inlineStr">
        <is>
          <t>Linear interpolation between GHSL epochs</t>
        </is>
      </c>
      <c r="K168" s="46" t="n">
        <v>49.95346815</v>
      </c>
      <c r="L168" s="46" t="n">
        <v>1295.089915</v>
      </c>
      <c r="M168" s="45" t="n">
        <v>1110</v>
      </c>
      <c r="N168" s="45" t="n">
        <v>18501</v>
      </c>
    </row>
    <row r="169">
      <c r="A169" s="39" t="n">
        <v>11</v>
      </c>
      <c r="B169" s="39" t="inlineStr">
        <is>
          <t>XI</t>
        </is>
      </c>
      <c r="C169" s="40" t="inlineStr">
        <is>
          <t>Valasaravakkam</t>
        </is>
      </c>
      <c r="D169" s="39" t="n">
        <v>2019</v>
      </c>
      <c r="E169" s="39" t="inlineStr">
        <is>
          <t>Historical Observed</t>
        </is>
      </c>
      <c r="F169" s="41" t="n">
        <v>371911.87</v>
      </c>
      <c r="G169" s="41" t="n">
        <v>8441614.214901954</v>
      </c>
      <c r="H169" s="42" t="n">
        <v>8.441614214901954</v>
      </c>
      <c r="I169" s="42" t="n">
        <v>41.27500990582735</v>
      </c>
      <c r="J169" s="40" t="inlineStr">
        <is>
          <t>Linear interpolation between GHSL epochs</t>
        </is>
      </c>
      <c r="K169" s="42" t="n">
        <v>50.20810245000001</v>
      </c>
      <c r="L169" s="42" t="n">
        <v>1301.691545</v>
      </c>
      <c r="M169" s="41" t="n">
        <v>1116</v>
      </c>
      <c r="N169" s="41" t="n">
        <v>18596</v>
      </c>
    </row>
    <row r="170">
      <c r="A170" s="43" t="n">
        <v>11</v>
      </c>
      <c r="B170" s="43" t="inlineStr">
        <is>
          <t>XI</t>
        </is>
      </c>
      <c r="C170" s="44" t="inlineStr">
        <is>
          <t>Valasaravakkam</t>
        </is>
      </c>
      <c r="D170" s="43" t="n">
        <v>2020</v>
      </c>
      <c r="E170" s="43" t="inlineStr">
        <is>
          <t>Historical Observed</t>
        </is>
      </c>
      <c r="F170" s="45" t="n">
        <v>373561.79</v>
      </c>
      <c r="G170" s="45" t="n">
        <v>8454645.737254895</v>
      </c>
      <c r="H170" s="46" t="n">
        <v>8.454645737254895</v>
      </c>
      <c r="I170" s="46" t="n">
        <v>36.01038454455421</v>
      </c>
      <c r="J170" s="44" t="inlineStr">
        <is>
          <t>Observed GHSL epoch</t>
        </is>
      </c>
      <c r="K170" s="46" t="n">
        <v>50.43084165</v>
      </c>
      <c r="L170" s="46" t="n">
        <v>1307.466265</v>
      </c>
      <c r="M170" s="45" t="n">
        <v>1121</v>
      </c>
      <c r="N170" s="45" t="n">
        <v>18678</v>
      </c>
    </row>
    <row r="171">
      <c r="A171" s="39" t="n">
        <v>11</v>
      </c>
      <c r="B171" s="39" t="inlineStr">
        <is>
          <t>XI</t>
        </is>
      </c>
      <c r="C171" s="40" t="inlineStr">
        <is>
          <t>Valasaravakkam</t>
        </is>
      </c>
      <c r="D171" s="39" t="n">
        <v>2021</v>
      </c>
      <c r="E171" s="39" t="inlineStr">
        <is>
          <t>Historical Observed</t>
        </is>
      </c>
      <c r="F171" s="41" t="n">
        <v>375142</v>
      </c>
      <c r="G171" s="41" t="n">
        <v>8463458.030588228</v>
      </c>
      <c r="H171" s="42" t="n">
        <v>8.463458030588228</v>
      </c>
      <c r="I171" s="42" t="n">
        <v>39.63869925331293</v>
      </c>
      <c r="J171" s="40" t="inlineStr">
        <is>
          <t>Linear interpolation between GHSL epochs</t>
        </is>
      </c>
      <c r="K171" s="42" t="n">
        <v>50.64417</v>
      </c>
      <c r="L171" s="42" t="n">
        <v>1312.997</v>
      </c>
      <c r="M171" s="41" t="n">
        <v>1125</v>
      </c>
      <c r="N171" s="41" t="n">
        <v>18757</v>
      </c>
    </row>
    <row r="172">
      <c r="A172" s="43" t="n">
        <v>11</v>
      </c>
      <c r="B172" s="43" t="inlineStr">
        <is>
          <t>XI</t>
        </is>
      </c>
      <c r="C172" s="44" t="inlineStr">
        <is>
          <t>Valasaravakkam</t>
        </is>
      </c>
      <c r="D172" s="43" t="n">
        <v>2022</v>
      </c>
      <c r="E172" s="43" t="inlineStr">
        <is>
          <t>Historical Observed</t>
        </is>
      </c>
      <c r="F172" s="45" t="n">
        <v>376287.76</v>
      </c>
      <c r="G172" s="45" t="n">
        <v>8472270.323921561</v>
      </c>
      <c r="H172" s="46" t="n">
        <v>8.472270323921562</v>
      </c>
      <c r="I172" s="46" t="n">
        <v>49.84833225571948</v>
      </c>
      <c r="J172" s="44" t="inlineStr">
        <is>
          <t>Linear interpolation between GHSL epochs</t>
        </is>
      </c>
      <c r="K172" s="46" t="n">
        <v>50.7988476</v>
      </c>
      <c r="L172" s="46" t="n">
        <v>1317.00716</v>
      </c>
      <c r="M172" s="45" t="n">
        <v>1129</v>
      </c>
      <c r="N172" s="45" t="n">
        <v>18814</v>
      </c>
    </row>
    <row r="173">
      <c r="A173" s="39" t="n">
        <v>11</v>
      </c>
      <c r="B173" s="39" t="inlineStr">
        <is>
          <t>XI</t>
        </is>
      </c>
      <c r="C173" s="40" t="inlineStr">
        <is>
          <t>Valasaravakkam</t>
        </is>
      </c>
      <c r="D173" s="39" t="n">
        <v>2023</v>
      </c>
      <c r="E173" s="39" t="inlineStr">
        <is>
          <t>Historical Observed</t>
        </is>
      </c>
      <c r="F173" s="41" t="n">
        <v>377728.44</v>
      </c>
      <c r="G173" s="41" t="n">
        <v>8481082.617254896</v>
      </c>
      <c r="H173" s="42" t="n">
        <v>8.481082617254897</v>
      </c>
      <c r="I173" s="42" t="n">
        <v>53.92781738938911</v>
      </c>
      <c r="J173" s="40" t="inlineStr">
        <is>
          <t>Linear interpolation between GHSL epochs</t>
        </is>
      </c>
      <c r="K173" s="42" t="n">
        <v>50.9933394</v>
      </c>
      <c r="L173" s="42" t="n">
        <v>1322.04954</v>
      </c>
      <c r="M173" s="41" t="n">
        <v>1133</v>
      </c>
      <c r="N173" s="41" t="n">
        <v>18886</v>
      </c>
    </row>
    <row r="174">
      <c r="A174" s="43" t="n">
        <v>11</v>
      </c>
      <c r="B174" s="43" t="inlineStr">
        <is>
          <t>XI</t>
        </is>
      </c>
      <c r="C174" s="44" t="inlineStr">
        <is>
          <t>Valasaravakkam</t>
        </is>
      </c>
      <c r="D174" s="43" t="n">
        <v>2024</v>
      </c>
      <c r="E174" s="43" t="inlineStr">
        <is>
          <t>Historical Observed</t>
        </is>
      </c>
      <c r="F174" s="45" t="n">
        <v>379138.54</v>
      </c>
      <c r="G174" s="45" t="n">
        <v>8489894.910588229</v>
      </c>
      <c r="H174" s="46" t="n">
        <v>8.489894910588228</v>
      </c>
      <c r="I174" s="46" t="n">
        <v>50.32013845793655</v>
      </c>
      <c r="J174" s="44" t="inlineStr">
        <is>
          <t>Linear interpolation between GHSL epochs</t>
        </is>
      </c>
      <c r="K174" s="46" t="n">
        <v>51.1837029</v>
      </c>
      <c r="L174" s="46" t="n">
        <v>1326.98489</v>
      </c>
      <c r="M174" s="45" t="n">
        <v>1137</v>
      </c>
      <c r="N174" s="45" t="n">
        <v>18957</v>
      </c>
    </row>
    <row r="175">
      <c r="A175" s="39" t="n">
        <v>11</v>
      </c>
      <c r="B175" s="39" t="inlineStr">
        <is>
          <t>XI</t>
        </is>
      </c>
      <c r="C175" s="40" t="inlineStr">
        <is>
          <t>Valasaravakkam</t>
        </is>
      </c>
      <c r="D175" s="39" t="n">
        <v>2025</v>
      </c>
      <c r="E175" s="39" t="inlineStr">
        <is>
          <t>Historical Observed</t>
        </is>
      </c>
      <c r="F175" s="41" t="n">
        <v>380541.94</v>
      </c>
      <c r="G175" s="41" t="n">
        <v>8498707.203921562</v>
      </c>
      <c r="H175" s="42" t="n">
        <v>8.498707203921562</v>
      </c>
      <c r="I175" s="42" t="n">
        <v>51.24695570663894</v>
      </c>
      <c r="J175" s="40" t="inlineStr">
        <is>
          <t>Observed GHSL epoch</t>
        </is>
      </c>
      <c r="K175" s="42" t="n">
        <v>51.3731619</v>
      </c>
      <c r="L175" s="42" t="n">
        <v>1331.89679</v>
      </c>
      <c r="M175" s="41" t="n">
        <v>1142</v>
      </c>
      <c r="N175" s="41" t="n">
        <v>19027</v>
      </c>
    </row>
    <row r="176">
      <c r="A176" s="43" t="n">
        <v>11</v>
      </c>
      <c r="B176" s="43" t="inlineStr">
        <is>
          <t>XI</t>
        </is>
      </c>
      <c r="C176" s="44" t="inlineStr">
        <is>
          <t>Valasaravakkam</t>
        </is>
      </c>
      <c r="D176" s="43" t="n">
        <v>2026</v>
      </c>
      <c r="E176" s="43" t="inlineStr">
        <is>
          <t>Historical Observed</t>
        </is>
      </c>
      <c r="F176" s="45" t="n">
        <v>381915.68</v>
      </c>
      <c r="G176" s="45" t="n">
        <v>8500326.307450974</v>
      </c>
      <c r="H176" s="46" t="n">
        <v>8.500326307450974</v>
      </c>
      <c r="I176" s="46" t="n">
        <v>55.24208659745536</v>
      </c>
      <c r="J176" s="44" t="inlineStr">
        <is>
          <t>Linear interpolation between GHSL epochs</t>
        </is>
      </c>
      <c r="K176" s="46" t="n">
        <v>51.5586168</v>
      </c>
      <c r="L176" s="46" t="n">
        <v>1336.70488</v>
      </c>
      <c r="M176" s="45" t="n">
        <v>1146</v>
      </c>
      <c r="N176" s="45" t="n">
        <v>19096</v>
      </c>
    </row>
    <row r="177">
      <c r="A177" s="47" t="n">
        <v>11</v>
      </c>
      <c r="B177" s="47" t="inlineStr">
        <is>
          <t>XI</t>
        </is>
      </c>
      <c r="C177" s="48" t="inlineStr">
        <is>
          <t>Valasaravakkam</t>
        </is>
      </c>
      <c r="D177" s="47" t="n">
        <v>2027</v>
      </c>
      <c r="E177" s="49" t="inlineStr">
        <is>
          <t>Hybrid ML Forecast</t>
        </is>
      </c>
      <c r="F177" s="50" t="n">
        <v>383212.29</v>
      </c>
      <c r="G177" s="50" t="n">
        <v>8501945.410980387</v>
      </c>
      <c r="H177" s="51" t="n">
        <v>8.501945410980387</v>
      </c>
      <c r="I177" s="52" t="n">
        <v>0</v>
      </c>
      <c r="J177" s="48" t="inlineStr">
        <is>
          <t>Linear interpolation between GHSL epochs</t>
        </is>
      </c>
      <c r="K177" s="51" t="n">
        <v>51.73365915</v>
      </c>
      <c r="L177" s="51" t="n">
        <v>1341.243015</v>
      </c>
      <c r="M177" s="50" t="n">
        <v>1150</v>
      </c>
      <c r="N177" s="50" t="n">
        <v>19161</v>
      </c>
    </row>
    <row r="178">
      <c r="A178" s="47" t="n">
        <v>11</v>
      </c>
      <c r="B178" s="47" t="inlineStr">
        <is>
          <t>XI</t>
        </is>
      </c>
      <c r="C178" s="48" t="inlineStr">
        <is>
          <t>Valasaravakkam</t>
        </is>
      </c>
      <c r="D178" s="47" t="n">
        <v>2028</v>
      </c>
      <c r="E178" s="49" t="inlineStr">
        <is>
          <t>Hybrid ML Forecast</t>
        </is>
      </c>
      <c r="F178" s="50" t="n">
        <v>384506.66</v>
      </c>
      <c r="G178" s="50" t="n">
        <v>8503564.514509797</v>
      </c>
      <c r="H178" s="51" t="n">
        <v>8.503564514509797</v>
      </c>
      <c r="I178" s="52" t="n">
        <v>0</v>
      </c>
      <c r="J178" s="48" t="inlineStr">
        <is>
          <t>Linear interpolation between GHSL epochs</t>
        </is>
      </c>
      <c r="K178" s="51" t="n">
        <v>51.9083991</v>
      </c>
      <c r="L178" s="51" t="n">
        <v>1345.77331</v>
      </c>
      <c r="M178" s="50" t="n">
        <v>1154</v>
      </c>
      <c r="N178" s="50" t="n">
        <v>19225</v>
      </c>
    </row>
    <row r="179">
      <c r="A179" s="47" t="n">
        <v>11</v>
      </c>
      <c r="B179" s="47" t="inlineStr">
        <is>
          <t>XI</t>
        </is>
      </c>
      <c r="C179" s="48" t="inlineStr">
        <is>
          <t>Valasaravakkam</t>
        </is>
      </c>
      <c r="D179" s="47" t="n">
        <v>2029</v>
      </c>
      <c r="E179" s="49" t="inlineStr">
        <is>
          <t>Hybrid ML Forecast</t>
        </is>
      </c>
      <c r="F179" s="50" t="n">
        <v>385750.65</v>
      </c>
      <c r="G179" s="50" t="n">
        <v>8505183.618039209</v>
      </c>
      <c r="H179" s="51" t="n">
        <v>8.50518361803921</v>
      </c>
      <c r="I179" s="52" t="n">
        <v>0</v>
      </c>
      <c r="J179" s="48" t="inlineStr">
        <is>
          <t>Linear interpolation between GHSL epochs</t>
        </is>
      </c>
      <c r="K179" s="51" t="n">
        <v>52.07633775</v>
      </c>
      <c r="L179" s="51" t="n">
        <v>1350.127275</v>
      </c>
      <c r="M179" s="50" t="n">
        <v>1157</v>
      </c>
      <c r="N179" s="50" t="n">
        <v>19288</v>
      </c>
    </row>
    <row r="180">
      <c r="A180" s="47" t="n">
        <v>11</v>
      </c>
      <c r="B180" s="47" t="inlineStr">
        <is>
          <t>XI</t>
        </is>
      </c>
      <c r="C180" s="48" t="inlineStr">
        <is>
          <t>Valasaravakkam</t>
        </is>
      </c>
      <c r="D180" s="47" t="n">
        <v>2030</v>
      </c>
      <c r="E180" s="49" t="inlineStr">
        <is>
          <t>Hybrid ML Forecast</t>
        </is>
      </c>
      <c r="F180" s="50" t="n">
        <v>386974.21</v>
      </c>
      <c r="G180" s="50" t="n">
        <v>8506802.721568622</v>
      </c>
      <c r="H180" s="51" t="n">
        <v>8.506802721568622</v>
      </c>
      <c r="I180" s="52" t="n">
        <v>0</v>
      </c>
      <c r="J180" s="48" t="inlineStr">
        <is>
          <t>Observed GHSL epoch</t>
        </is>
      </c>
      <c r="K180" s="51" t="n">
        <v>52.24151835</v>
      </c>
      <c r="L180" s="51" t="n">
        <v>1354.409735</v>
      </c>
      <c r="M180" s="50" t="n">
        <v>1161</v>
      </c>
      <c r="N180" s="50" t="n">
        <v>19349</v>
      </c>
    </row>
    <row r="181">
      <c r="A181" s="39" t="n">
        <v>12</v>
      </c>
      <c r="B181" s="39" t="inlineStr">
        <is>
          <t>XII</t>
        </is>
      </c>
      <c r="C181" s="40" t="inlineStr">
        <is>
          <t>Alandur</t>
        </is>
      </c>
      <c r="D181" s="39" t="n">
        <v>2015</v>
      </c>
      <c r="E181" s="39" t="inlineStr">
        <is>
          <t>Historical Observed</t>
        </is>
      </c>
      <c r="F181" s="41" t="n">
        <v>257940.5</v>
      </c>
      <c r="G181" s="41" t="n">
        <v>5474782.674509805</v>
      </c>
      <c r="H181" s="42" t="n">
        <v>5.474782674509805</v>
      </c>
      <c r="I181" s="42" t="n">
        <v>35.90269079140108</v>
      </c>
      <c r="J181" s="40" t="inlineStr">
        <is>
          <t>Observed GHSL epoch</t>
        </is>
      </c>
      <c r="K181" s="42" t="n">
        <v>34.8219675</v>
      </c>
      <c r="L181" s="42" t="n">
        <v>902.79175</v>
      </c>
      <c r="M181" s="41" t="n">
        <v>774</v>
      </c>
      <c r="N181" s="41" t="n">
        <v>12897</v>
      </c>
    </row>
    <row r="182">
      <c r="A182" s="43" t="n">
        <v>12</v>
      </c>
      <c r="B182" s="43" t="inlineStr">
        <is>
          <t>XII</t>
        </is>
      </c>
      <c r="C182" s="44" t="inlineStr">
        <is>
          <t>Alandur</t>
        </is>
      </c>
      <c r="D182" s="43" t="n">
        <v>2016</v>
      </c>
      <c r="E182" s="43" t="inlineStr">
        <is>
          <t>Historical Observed</t>
        </is>
      </c>
      <c r="F182" s="45" t="n">
        <v>259458.88</v>
      </c>
      <c r="G182" s="45" t="n">
        <v>5489115.84627451</v>
      </c>
      <c r="H182" s="46" t="n">
        <v>5.48911584627451</v>
      </c>
      <c r="I182" s="46" t="n">
        <v>33.52350878814435</v>
      </c>
      <c r="J182" s="44" t="inlineStr">
        <is>
          <t>Linear interpolation between GHSL epochs</t>
        </is>
      </c>
      <c r="K182" s="46" t="n">
        <v>35.0269488</v>
      </c>
      <c r="L182" s="46" t="n">
        <v>908.10608</v>
      </c>
      <c r="M182" s="45" t="n">
        <v>778</v>
      </c>
      <c r="N182" s="45" t="n">
        <v>12973</v>
      </c>
    </row>
    <row r="183">
      <c r="A183" s="39" t="n">
        <v>12</v>
      </c>
      <c r="B183" s="39" t="inlineStr">
        <is>
          <t>XII</t>
        </is>
      </c>
      <c r="C183" s="40" t="inlineStr">
        <is>
          <t>Alandur</t>
        </is>
      </c>
      <c r="D183" s="39" t="n">
        <v>2017</v>
      </c>
      <c r="E183" s="39" t="inlineStr">
        <is>
          <t>Historical Observed</t>
        </is>
      </c>
      <c r="F183" s="41" t="n">
        <v>260991.49</v>
      </c>
      <c r="G183" s="41" t="n">
        <v>5503449.018039215</v>
      </c>
      <c r="H183" s="42" t="n">
        <v>5.503449018039215</v>
      </c>
      <c r="I183" s="42" t="n">
        <v>37.81366266225862</v>
      </c>
      <c r="J183" s="40" t="inlineStr">
        <is>
          <t>Linear interpolation between GHSL epochs</t>
        </is>
      </c>
      <c r="K183" s="42" t="n">
        <v>35.23385115</v>
      </c>
      <c r="L183" s="42" t="n">
        <v>913.4702149999999</v>
      </c>
      <c r="M183" s="41" t="n">
        <v>783</v>
      </c>
      <c r="N183" s="41" t="n">
        <v>13050</v>
      </c>
    </row>
    <row r="184">
      <c r="A184" s="43" t="n">
        <v>12</v>
      </c>
      <c r="B184" s="43" t="inlineStr">
        <is>
          <t>XII</t>
        </is>
      </c>
      <c r="C184" s="44" t="inlineStr">
        <is>
          <t>Alandur</t>
        </is>
      </c>
      <c r="D184" s="43" t="n">
        <v>2018</v>
      </c>
      <c r="E184" s="43" t="inlineStr">
        <is>
          <t>Historical Observed</t>
        </is>
      </c>
      <c r="F184" s="45" t="n">
        <v>262347.59</v>
      </c>
      <c r="G184" s="45" t="n">
        <v>5517782.189803921</v>
      </c>
      <c r="H184" s="46" t="n">
        <v>5.517782189803921</v>
      </c>
      <c r="I184" s="46" t="n">
        <v>38.81220148442971</v>
      </c>
      <c r="J184" s="44" t="inlineStr">
        <is>
          <t>Linear interpolation between GHSL epochs</t>
        </is>
      </c>
      <c r="K184" s="46" t="n">
        <v>35.41692465000001</v>
      </c>
      <c r="L184" s="46" t="n">
        <v>918.2165650000001</v>
      </c>
      <c r="M184" s="45" t="n">
        <v>787</v>
      </c>
      <c r="N184" s="45" t="n">
        <v>13117</v>
      </c>
    </row>
    <row r="185">
      <c r="A185" s="39" t="n">
        <v>12</v>
      </c>
      <c r="B185" s="39" t="inlineStr">
        <is>
          <t>XII</t>
        </is>
      </c>
      <c r="C185" s="40" t="inlineStr">
        <is>
          <t>Alandur</t>
        </is>
      </c>
      <c r="D185" s="39" t="n">
        <v>2019</v>
      </c>
      <c r="E185" s="39" t="inlineStr">
        <is>
          <t>Historical Observed</t>
        </is>
      </c>
      <c r="F185" s="41" t="n">
        <v>263670.8</v>
      </c>
      <c r="G185" s="41" t="n">
        <v>5532115.361568626</v>
      </c>
      <c r="H185" s="42" t="n">
        <v>5.532115361568626</v>
      </c>
      <c r="I185" s="42" t="n">
        <v>42.6130910618395</v>
      </c>
      <c r="J185" s="40" t="inlineStr">
        <is>
          <t>Linear interpolation between GHSL epochs</t>
        </is>
      </c>
      <c r="K185" s="42" t="n">
        <v>35.595558</v>
      </c>
      <c r="L185" s="42" t="n">
        <v>922.8477999999999</v>
      </c>
      <c r="M185" s="41" t="n">
        <v>791</v>
      </c>
      <c r="N185" s="41" t="n">
        <v>13184</v>
      </c>
    </row>
    <row r="186">
      <c r="A186" s="43" t="n">
        <v>12</v>
      </c>
      <c r="B186" s="43" t="inlineStr">
        <is>
          <t>XII</t>
        </is>
      </c>
      <c r="C186" s="44" t="inlineStr">
        <is>
          <t>Alandur</t>
        </is>
      </c>
      <c r="D186" s="43" t="n">
        <v>2020</v>
      </c>
      <c r="E186" s="43" t="inlineStr">
        <is>
          <t>Historical Observed</t>
        </is>
      </c>
      <c r="F186" s="45" t="n">
        <v>264842.45</v>
      </c>
      <c r="G186" s="45" t="n">
        <v>5546448.533333331</v>
      </c>
      <c r="H186" s="46" t="n">
        <v>5.546448533333331</v>
      </c>
      <c r="I186" s="46" t="n">
        <v>35.87920971937081</v>
      </c>
      <c r="J186" s="44" t="inlineStr">
        <is>
          <t>Observed GHSL epoch</t>
        </is>
      </c>
      <c r="K186" s="46" t="n">
        <v>35.75373075</v>
      </c>
      <c r="L186" s="46" t="n">
        <v>926.9485750000001</v>
      </c>
      <c r="M186" s="45" t="n">
        <v>795</v>
      </c>
      <c r="N186" s="45" t="n">
        <v>13242</v>
      </c>
    </row>
    <row r="187">
      <c r="A187" s="39" t="n">
        <v>12</v>
      </c>
      <c r="B187" s="39" t="inlineStr">
        <is>
          <t>XII</t>
        </is>
      </c>
      <c r="C187" s="40" t="inlineStr">
        <is>
          <t>Alandur</t>
        </is>
      </c>
      <c r="D187" s="39" t="n">
        <v>2021</v>
      </c>
      <c r="E187" s="39" t="inlineStr">
        <is>
          <t>Historical Observed</t>
        </is>
      </c>
      <c r="F187" s="41" t="n">
        <v>265955</v>
      </c>
      <c r="G187" s="41" t="n">
        <v>5557158.957647057</v>
      </c>
      <c r="H187" s="42" t="n">
        <v>5.557158957647057</v>
      </c>
      <c r="I187" s="42" t="n">
        <v>41.21475033650404</v>
      </c>
      <c r="J187" s="40" t="inlineStr">
        <is>
          <t>Linear interpolation between GHSL epochs</t>
        </is>
      </c>
      <c r="K187" s="42" t="n">
        <v>35.903925</v>
      </c>
      <c r="L187" s="42" t="n">
        <v>930.8425</v>
      </c>
      <c r="M187" s="41" t="n">
        <v>798</v>
      </c>
      <c r="N187" s="41" t="n">
        <v>13298</v>
      </c>
    </row>
    <row r="188">
      <c r="A188" s="43" t="n">
        <v>12</v>
      </c>
      <c r="B188" s="43" t="inlineStr">
        <is>
          <t>XII</t>
        </is>
      </c>
      <c r="C188" s="44" t="inlineStr">
        <is>
          <t>Alandur</t>
        </is>
      </c>
      <c r="D188" s="43" t="n">
        <v>2022</v>
      </c>
      <c r="E188" s="43" t="inlineStr">
        <is>
          <t>Historical Observed</t>
        </is>
      </c>
      <c r="F188" s="45" t="n">
        <v>266767.88</v>
      </c>
      <c r="G188" s="45" t="n">
        <v>5567869.381960782</v>
      </c>
      <c r="H188" s="46" t="n">
        <v>5.567869381960782</v>
      </c>
      <c r="I188" s="46" t="n">
        <v>45.31427712096365</v>
      </c>
      <c r="J188" s="44" t="inlineStr">
        <is>
          <t>Linear interpolation between GHSL epochs</t>
        </is>
      </c>
      <c r="K188" s="46" t="n">
        <v>36.0136638</v>
      </c>
      <c r="L188" s="46" t="n">
        <v>933.68758</v>
      </c>
      <c r="M188" s="45" t="n">
        <v>800</v>
      </c>
      <c r="N188" s="45" t="n">
        <v>13338</v>
      </c>
    </row>
    <row r="189">
      <c r="A189" s="39" t="n">
        <v>12</v>
      </c>
      <c r="B189" s="39" t="inlineStr">
        <is>
          <t>XII</t>
        </is>
      </c>
      <c r="C189" s="40" t="inlineStr">
        <is>
          <t>Alandur</t>
        </is>
      </c>
      <c r="D189" s="39" t="n">
        <v>2023</v>
      </c>
      <c r="E189" s="39" t="inlineStr">
        <is>
          <t>Historical Observed</t>
        </is>
      </c>
      <c r="F189" s="41" t="n">
        <v>267784.27</v>
      </c>
      <c r="G189" s="41" t="n">
        <v>5578579.806274508</v>
      </c>
      <c r="H189" s="42" t="n">
        <v>5.578579806274508</v>
      </c>
      <c r="I189" s="42" t="n">
        <v>47.42260766678326</v>
      </c>
      <c r="J189" s="40" t="inlineStr">
        <is>
          <t>Linear interpolation between GHSL epochs</t>
        </is>
      </c>
      <c r="K189" s="42" t="n">
        <v>36.15087645000001</v>
      </c>
      <c r="L189" s="42" t="n">
        <v>937.244945</v>
      </c>
      <c r="M189" s="41" t="n">
        <v>803</v>
      </c>
      <c r="N189" s="41" t="n">
        <v>13389</v>
      </c>
    </row>
    <row r="190">
      <c r="A190" s="43" t="n">
        <v>12</v>
      </c>
      <c r="B190" s="43" t="inlineStr">
        <is>
          <t>XII</t>
        </is>
      </c>
      <c r="C190" s="44" t="inlineStr">
        <is>
          <t>Alandur</t>
        </is>
      </c>
      <c r="D190" s="43" t="n">
        <v>2024</v>
      </c>
      <c r="E190" s="43" t="inlineStr">
        <is>
          <t>Historical Observed</t>
        </is>
      </c>
      <c r="F190" s="45" t="n">
        <v>268778.47</v>
      </c>
      <c r="G190" s="45" t="n">
        <v>5589290.230588233</v>
      </c>
      <c r="H190" s="46" t="n">
        <v>5.589290230588233</v>
      </c>
      <c r="I190" s="46" t="n">
        <v>46.5244731735313</v>
      </c>
      <c r="J190" s="44" t="inlineStr">
        <is>
          <t>Linear interpolation between GHSL epochs</t>
        </is>
      </c>
      <c r="K190" s="46" t="n">
        <v>36.28509345</v>
      </c>
      <c r="L190" s="46" t="n">
        <v>940.7246449999999</v>
      </c>
      <c r="M190" s="45" t="n">
        <v>806</v>
      </c>
      <c r="N190" s="45" t="n">
        <v>13439</v>
      </c>
    </row>
    <row r="191">
      <c r="A191" s="39" t="n">
        <v>12</v>
      </c>
      <c r="B191" s="39" t="inlineStr">
        <is>
          <t>XII</t>
        </is>
      </c>
      <c r="C191" s="40" t="inlineStr">
        <is>
          <t>Alandur</t>
        </is>
      </c>
      <c r="D191" s="39" t="n">
        <v>2025</v>
      </c>
      <c r="E191" s="39" t="inlineStr">
        <is>
          <t>Historical Observed</t>
        </is>
      </c>
      <c r="F191" s="41" t="n">
        <v>269778.82</v>
      </c>
      <c r="G191" s="41" t="n">
        <v>5600000.654901959</v>
      </c>
      <c r="H191" s="42" t="n">
        <v>5.600000654901959</v>
      </c>
      <c r="I191" s="42" t="n">
        <v>50.12774086902585</v>
      </c>
      <c r="J191" s="40" t="inlineStr">
        <is>
          <t>Observed GHSL epoch</t>
        </is>
      </c>
      <c r="K191" s="42" t="n">
        <v>36.4201407</v>
      </c>
      <c r="L191" s="42" t="n">
        <v>944.22587</v>
      </c>
      <c r="M191" s="41" t="n">
        <v>809</v>
      </c>
      <c r="N191" s="41" t="n">
        <v>13489</v>
      </c>
    </row>
    <row r="192">
      <c r="A192" s="43" t="n">
        <v>12</v>
      </c>
      <c r="B192" s="43" t="inlineStr">
        <is>
          <t>XII</t>
        </is>
      </c>
      <c r="C192" s="44" t="inlineStr">
        <is>
          <t>Alandur</t>
        </is>
      </c>
      <c r="D192" s="43" t="n">
        <v>2026</v>
      </c>
      <c r="E192" s="43" t="inlineStr">
        <is>
          <t>Historical Observed</t>
        </is>
      </c>
      <c r="F192" s="45" t="n">
        <v>270760.14</v>
      </c>
      <c r="G192" s="45" t="n">
        <v>5605617.33098039</v>
      </c>
      <c r="H192" s="46" t="n">
        <v>5.60561733098039</v>
      </c>
      <c r="I192" s="46" t="n">
        <v>53.69243341126766</v>
      </c>
      <c r="J192" s="44" t="inlineStr">
        <is>
          <t>Linear interpolation between GHSL epochs</t>
        </is>
      </c>
      <c r="K192" s="46" t="n">
        <v>36.5526189</v>
      </c>
      <c r="L192" s="46" t="n">
        <v>947.66049</v>
      </c>
      <c r="M192" s="45" t="n">
        <v>812</v>
      </c>
      <c r="N192" s="45" t="n">
        <v>13538</v>
      </c>
    </row>
    <row r="193">
      <c r="A193" s="47" t="n">
        <v>12</v>
      </c>
      <c r="B193" s="47" t="inlineStr">
        <is>
          <t>XII</t>
        </is>
      </c>
      <c r="C193" s="48" t="inlineStr">
        <is>
          <t>Alandur</t>
        </is>
      </c>
      <c r="D193" s="47" t="n">
        <v>2027</v>
      </c>
      <c r="E193" s="49" t="inlineStr">
        <is>
          <t>Hybrid ML Forecast</t>
        </is>
      </c>
      <c r="F193" s="50" t="n">
        <v>271684.99</v>
      </c>
      <c r="G193" s="50" t="n">
        <v>5611234.007058822</v>
      </c>
      <c r="H193" s="51" t="n">
        <v>5.611234007058822</v>
      </c>
      <c r="I193" s="52" t="n">
        <v>0</v>
      </c>
      <c r="J193" s="48" t="inlineStr">
        <is>
          <t>Linear interpolation between GHSL epochs</t>
        </is>
      </c>
      <c r="K193" s="51" t="n">
        <v>36.67747365</v>
      </c>
      <c r="L193" s="51" t="n">
        <v>950.897465</v>
      </c>
      <c r="M193" s="50" t="n">
        <v>815</v>
      </c>
      <c r="N193" s="50" t="n">
        <v>13584</v>
      </c>
    </row>
    <row r="194">
      <c r="A194" s="47" t="n">
        <v>12</v>
      </c>
      <c r="B194" s="47" t="inlineStr">
        <is>
          <t>XII</t>
        </is>
      </c>
      <c r="C194" s="48" t="inlineStr">
        <is>
          <t>Alandur</t>
        </is>
      </c>
      <c r="D194" s="47" t="n">
        <v>2028</v>
      </c>
      <c r="E194" s="49" t="inlineStr">
        <is>
          <t>Hybrid ML Forecast</t>
        </is>
      </c>
      <c r="F194" s="50" t="n">
        <v>272611.01</v>
      </c>
      <c r="G194" s="50" t="n">
        <v>5616850.683137253</v>
      </c>
      <c r="H194" s="51" t="n">
        <v>5.616850683137253</v>
      </c>
      <c r="I194" s="52" t="n">
        <v>0</v>
      </c>
      <c r="J194" s="48" t="inlineStr">
        <is>
          <t>Linear interpolation between GHSL epochs</t>
        </is>
      </c>
      <c r="K194" s="51" t="n">
        <v>36.80248635</v>
      </c>
      <c r="L194" s="51" t="n">
        <v>954.138535</v>
      </c>
      <c r="M194" s="50" t="n">
        <v>818</v>
      </c>
      <c r="N194" s="50" t="n">
        <v>13631</v>
      </c>
    </row>
    <row r="195">
      <c r="A195" s="47" t="n">
        <v>12</v>
      </c>
      <c r="B195" s="47" t="inlineStr">
        <is>
          <t>XII</t>
        </is>
      </c>
      <c r="C195" s="48" t="inlineStr">
        <is>
          <t>Alandur</t>
        </is>
      </c>
      <c r="D195" s="47" t="n">
        <v>2029</v>
      </c>
      <c r="E195" s="49" t="inlineStr">
        <is>
          <t>Hybrid ML Forecast</t>
        </is>
      </c>
      <c r="F195" s="50" t="n">
        <v>273504.76</v>
      </c>
      <c r="G195" s="50" t="n">
        <v>5622467.359215684</v>
      </c>
      <c r="H195" s="51" t="n">
        <v>5.622467359215684</v>
      </c>
      <c r="I195" s="52" t="n">
        <v>0</v>
      </c>
      <c r="J195" s="48" t="inlineStr">
        <is>
          <t>Linear interpolation between GHSL epochs</t>
        </is>
      </c>
      <c r="K195" s="51" t="n">
        <v>36.9231426</v>
      </c>
      <c r="L195" s="51" t="n">
        <v>957.26666</v>
      </c>
      <c r="M195" s="50" t="n">
        <v>821</v>
      </c>
      <c r="N195" s="50" t="n">
        <v>13675</v>
      </c>
    </row>
    <row r="196">
      <c r="A196" s="47" t="n">
        <v>12</v>
      </c>
      <c r="B196" s="47" t="inlineStr">
        <is>
          <t>XII</t>
        </is>
      </c>
      <c r="C196" s="48" t="inlineStr">
        <is>
          <t>Alandur</t>
        </is>
      </c>
      <c r="D196" s="47" t="n">
        <v>2030</v>
      </c>
      <c r="E196" s="49" t="inlineStr">
        <is>
          <t>Hybrid ML Forecast</t>
        </is>
      </c>
      <c r="F196" s="50" t="n">
        <v>274378.1</v>
      </c>
      <c r="G196" s="50" t="n">
        <v>5628084.035294116</v>
      </c>
      <c r="H196" s="51" t="n">
        <v>5.628084035294115</v>
      </c>
      <c r="I196" s="52" t="n">
        <v>0</v>
      </c>
      <c r="J196" s="48" t="inlineStr">
        <is>
          <t>Observed GHSL epoch</t>
        </is>
      </c>
      <c r="K196" s="51" t="n">
        <v>37.0410435</v>
      </c>
      <c r="L196" s="51" t="n">
        <v>960.3233499999999</v>
      </c>
      <c r="M196" s="50" t="n">
        <v>823</v>
      </c>
      <c r="N196" s="50" t="n">
        <v>13719</v>
      </c>
    </row>
    <row r="197">
      <c r="A197" s="39" t="n">
        <v>13</v>
      </c>
      <c r="B197" s="39" t="inlineStr">
        <is>
          <t>XIII</t>
        </is>
      </c>
      <c r="C197" s="40" t="inlineStr">
        <is>
          <t>Adyar</t>
        </is>
      </c>
      <c r="D197" s="39" t="n">
        <v>2015</v>
      </c>
      <c r="E197" s="39" t="inlineStr">
        <is>
          <t>Historical Observed</t>
        </is>
      </c>
      <c r="F197" s="41" t="n">
        <v>646806.53</v>
      </c>
      <c r="G197" s="41" t="n">
        <v>11078734.73725491</v>
      </c>
      <c r="H197" s="42" t="n">
        <v>11.07873473725491</v>
      </c>
      <c r="I197" s="42" t="n">
        <v>27.04134118747523</v>
      </c>
      <c r="J197" s="40" t="inlineStr">
        <is>
          <t>Observed GHSL epoch</t>
        </is>
      </c>
      <c r="K197" s="42" t="n">
        <v>87.31888155</v>
      </c>
      <c r="L197" s="42" t="n">
        <v>2263.822855</v>
      </c>
      <c r="M197" s="41" t="n">
        <v>1940</v>
      </c>
      <c r="N197" s="41" t="n">
        <v>32340</v>
      </c>
    </row>
    <row r="198">
      <c r="A198" s="43" t="n">
        <v>13</v>
      </c>
      <c r="B198" s="43" t="inlineStr">
        <is>
          <t>XIII</t>
        </is>
      </c>
      <c r="C198" s="44" t="inlineStr">
        <is>
          <t>Adyar</t>
        </is>
      </c>
      <c r="D198" s="43" t="n">
        <v>2016</v>
      </c>
      <c r="E198" s="43" t="inlineStr">
        <is>
          <t>Historical Observed</t>
        </is>
      </c>
      <c r="F198" s="45" t="n">
        <v>650568.53</v>
      </c>
      <c r="G198" s="45" t="n">
        <v>11101849.50666667</v>
      </c>
      <c r="H198" s="46" t="n">
        <v>11.10184950666667</v>
      </c>
      <c r="I198" s="46" t="n">
        <v>26.6698016027163</v>
      </c>
      <c r="J198" s="44" t="inlineStr">
        <is>
          <t>Linear interpolation between GHSL epochs</t>
        </is>
      </c>
      <c r="K198" s="46" t="n">
        <v>87.82675155</v>
      </c>
      <c r="L198" s="46" t="n">
        <v>2276.989855</v>
      </c>
      <c r="M198" s="45" t="n">
        <v>1952</v>
      </c>
      <c r="N198" s="45" t="n">
        <v>32528</v>
      </c>
    </row>
    <row r="199">
      <c r="A199" s="39" t="n">
        <v>13</v>
      </c>
      <c r="B199" s="39" t="inlineStr">
        <is>
          <t>XIII</t>
        </is>
      </c>
      <c r="C199" s="40" t="inlineStr">
        <is>
          <t>Adyar</t>
        </is>
      </c>
      <c r="D199" s="39" t="n">
        <v>2017</v>
      </c>
      <c r="E199" s="39" t="inlineStr">
        <is>
          <t>Historical Observed</t>
        </is>
      </c>
      <c r="F199" s="41" t="n">
        <v>654368.97</v>
      </c>
      <c r="G199" s="41" t="n">
        <v>11124964.27607844</v>
      </c>
      <c r="H199" s="42" t="n">
        <v>11.12496427607844</v>
      </c>
      <c r="I199" s="42" t="n">
        <v>28.79090537235638</v>
      </c>
      <c r="J199" s="40" t="inlineStr">
        <is>
          <t>Linear interpolation between GHSL epochs</t>
        </is>
      </c>
      <c r="K199" s="42" t="n">
        <v>88.33981095</v>
      </c>
      <c r="L199" s="42" t="n">
        <v>2290.291395</v>
      </c>
      <c r="M199" s="41" t="n">
        <v>1963</v>
      </c>
      <c r="N199" s="41" t="n">
        <v>32718</v>
      </c>
    </row>
    <row r="200">
      <c r="A200" s="43" t="n">
        <v>13</v>
      </c>
      <c r="B200" s="43" t="inlineStr">
        <is>
          <t>XIII</t>
        </is>
      </c>
      <c r="C200" s="44" t="inlineStr">
        <is>
          <t>Adyar</t>
        </is>
      </c>
      <c r="D200" s="43" t="n">
        <v>2018</v>
      </c>
      <c r="E200" s="43" t="inlineStr">
        <is>
          <t>Historical Observed</t>
        </is>
      </c>
      <c r="F200" s="45" t="n">
        <v>657741.21</v>
      </c>
      <c r="G200" s="45" t="n">
        <v>11148079.0454902</v>
      </c>
      <c r="H200" s="46" t="n">
        <v>11.1480790454902</v>
      </c>
      <c r="I200" s="46" t="n">
        <v>28.66232405347084</v>
      </c>
      <c r="J200" s="44" t="inlineStr">
        <is>
          <t>Linear interpolation between GHSL epochs</t>
        </is>
      </c>
      <c r="K200" s="46" t="n">
        <v>88.79506334999999</v>
      </c>
      <c r="L200" s="46" t="n">
        <v>2302.094235</v>
      </c>
      <c r="M200" s="45" t="n">
        <v>1973</v>
      </c>
      <c r="N200" s="45" t="n">
        <v>32887</v>
      </c>
    </row>
    <row r="201">
      <c r="A201" s="39" t="n">
        <v>13</v>
      </c>
      <c r="B201" s="39" t="inlineStr">
        <is>
          <t>XIII</t>
        </is>
      </c>
      <c r="C201" s="40" t="inlineStr">
        <is>
          <t>Adyar</t>
        </is>
      </c>
      <c r="D201" s="39" t="n">
        <v>2019</v>
      </c>
      <c r="E201" s="39" t="inlineStr">
        <is>
          <t>Historical Observed</t>
        </is>
      </c>
      <c r="F201" s="41" t="n">
        <v>661019.5</v>
      </c>
      <c r="G201" s="41" t="n">
        <v>11171193.81490197</v>
      </c>
      <c r="H201" s="42" t="n">
        <v>11.17119381490197</v>
      </c>
      <c r="I201" s="42" t="n">
        <v>30.40521907441359</v>
      </c>
      <c r="J201" s="40" t="inlineStr">
        <is>
          <t>Linear interpolation between GHSL epochs</t>
        </is>
      </c>
      <c r="K201" s="42" t="n">
        <v>89.2376325</v>
      </c>
      <c r="L201" s="42" t="n">
        <v>2313.56825</v>
      </c>
      <c r="M201" s="41" t="n">
        <v>1983</v>
      </c>
      <c r="N201" s="41" t="n">
        <v>33051</v>
      </c>
    </row>
    <row r="202">
      <c r="A202" s="43" t="n">
        <v>13</v>
      </c>
      <c r="B202" s="43" t="inlineStr">
        <is>
          <t>XIII</t>
        </is>
      </c>
      <c r="C202" s="44" t="inlineStr">
        <is>
          <t>Adyar</t>
        </is>
      </c>
      <c r="D202" s="43" t="n">
        <v>2020</v>
      </c>
      <c r="E202" s="43" t="inlineStr">
        <is>
          <t>Historical Observed</t>
        </is>
      </c>
      <c r="F202" s="45" t="n">
        <v>663938.79</v>
      </c>
      <c r="G202" s="45" t="n">
        <v>11194308.58431373</v>
      </c>
      <c r="H202" s="46" t="n">
        <v>11.19430858431373</v>
      </c>
      <c r="I202" s="46" t="n">
        <v>27.97347238508067</v>
      </c>
      <c r="J202" s="44" t="inlineStr">
        <is>
          <t>Observed GHSL epoch</t>
        </is>
      </c>
      <c r="K202" s="46" t="n">
        <v>89.63173665000001</v>
      </c>
      <c r="L202" s="46" t="n">
        <v>2323.785765</v>
      </c>
      <c r="M202" s="45" t="n">
        <v>1992</v>
      </c>
      <c r="N202" s="45" t="n">
        <v>33197</v>
      </c>
    </row>
    <row r="203">
      <c r="A203" s="39" t="n">
        <v>13</v>
      </c>
      <c r="B203" s="39" t="inlineStr">
        <is>
          <t>XIII</t>
        </is>
      </c>
      <c r="C203" s="40" t="inlineStr">
        <is>
          <t>Adyar</t>
        </is>
      </c>
      <c r="D203" s="39" t="n">
        <v>2021</v>
      </c>
      <c r="E203" s="39" t="inlineStr">
        <is>
          <t>Historical Observed</t>
        </is>
      </c>
      <c r="F203" s="41" t="n">
        <v>666700</v>
      </c>
      <c r="G203" s="41" t="n">
        <v>11214299.9309804</v>
      </c>
      <c r="H203" s="42" t="n">
        <v>11.2142999309804</v>
      </c>
      <c r="I203" s="42" t="n">
        <v>30.42110371501947</v>
      </c>
      <c r="J203" s="40" t="inlineStr">
        <is>
          <t>Linear interpolation between GHSL epochs</t>
        </is>
      </c>
      <c r="K203" s="42" t="n">
        <v>90.00449999999999</v>
      </c>
      <c r="L203" s="42" t="n">
        <v>2333.45</v>
      </c>
      <c r="M203" s="41" t="n">
        <v>2000</v>
      </c>
      <c r="N203" s="41" t="n">
        <v>33335</v>
      </c>
    </row>
    <row r="204">
      <c r="A204" s="43" t="n">
        <v>13</v>
      </c>
      <c r="B204" s="43" t="inlineStr">
        <is>
          <t>XIII</t>
        </is>
      </c>
      <c r="C204" s="44" t="inlineStr">
        <is>
          <t>Adyar</t>
        </is>
      </c>
      <c r="D204" s="43" t="n">
        <v>2022</v>
      </c>
      <c r="E204" s="43" t="inlineStr">
        <is>
          <t>Historical Observed</t>
        </is>
      </c>
      <c r="F204" s="45" t="n">
        <v>668721.09</v>
      </c>
      <c r="G204" s="45" t="n">
        <v>11234291.27764706</v>
      </c>
      <c r="H204" s="46" t="n">
        <v>11.23429127764707</v>
      </c>
      <c r="I204" s="46" t="n">
        <v>32.48709551287013</v>
      </c>
      <c r="J204" s="44" t="inlineStr">
        <is>
          <t>Linear interpolation between GHSL epochs</t>
        </is>
      </c>
      <c r="K204" s="46" t="n">
        <v>90.27734715</v>
      </c>
      <c r="L204" s="46" t="n">
        <v>2340.523815</v>
      </c>
      <c r="M204" s="45" t="n">
        <v>2006</v>
      </c>
      <c r="N204" s="45" t="n">
        <v>33436</v>
      </c>
    </row>
    <row r="205">
      <c r="A205" s="39" t="n">
        <v>13</v>
      </c>
      <c r="B205" s="39" t="inlineStr">
        <is>
          <t>XIII</t>
        </is>
      </c>
      <c r="C205" s="40" t="inlineStr">
        <is>
          <t>Adyar</t>
        </is>
      </c>
      <c r="D205" s="39" t="n">
        <v>2023</v>
      </c>
      <c r="E205" s="39" t="inlineStr">
        <is>
          <t>Historical Observed</t>
        </is>
      </c>
      <c r="F205" s="41" t="n">
        <v>671252.36</v>
      </c>
      <c r="G205" s="41" t="n">
        <v>11254282.62431373</v>
      </c>
      <c r="H205" s="42" t="n">
        <v>11.25428262431373</v>
      </c>
      <c r="I205" s="42" t="n">
        <v>36.27038018858803</v>
      </c>
      <c r="J205" s="40" t="inlineStr">
        <is>
          <t>Linear interpolation between GHSL epochs</t>
        </is>
      </c>
      <c r="K205" s="42" t="n">
        <v>90.61906859999999</v>
      </c>
      <c r="L205" s="42" t="n">
        <v>2349.38326</v>
      </c>
      <c r="M205" s="41" t="n">
        <v>2014</v>
      </c>
      <c r="N205" s="41" t="n">
        <v>33563</v>
      </c>
    </row>
    <row r="206">
      <c r="A206" s="43" t="n">
        <v>13</v>
      </c>
      <c r="B206" s="43" t="inlineStr">
        <is>
          <t>XIII</t>
        </is>
      </c>
      <c r="C206" s="44" t="inlineStr">
        <is>
          <t>Adyar</t>
        </is>
      </c>
      <c r="D206" s="43" t="n">
        <v>2024</v>
      </c>
      <c r="E206" s="43" t="inlineStr">
        <is>
          <t>Historical Observed</t>
        </is>
      </c>
      <c r="F206" s="45" t="n">
        <v>673724.16</v>
      </c>
      <c r="G206" s="45" t="n">
        <v>11274273.9709804</v>
      </c>
      <c r="H206" s="46" t="n">
        <v>11.2742739709804</v>
      </c>
      <c r="I206" s="46" t="n">
        <v>37.31347342356224</v>
      </c>
      <c r="J206" s="44" t="inlineStr">
        <is>
          <t>Linear interpolation between GHSL epochs</t>
        </is>
      </c>
      <c r="K206" s="46" t="n">
        <v>90.9527616</v>
      </c>
      <c r="L206" s="46" t="n">
        <v>2358.03456</v>
      </c>
      <c r="M206" s="45" t="n">
        <v>2021</v>
      </c>
      <c r="N206" s="45" t="n">
        <v>33686</v>
      </c>
    </row>
    <row r="207">
      <c r="A207" s="39" t="n">
        <v>13</v>
      </c>
      <c r="B207" s="39" t="inlineStr">
        <is>
          <t>XIII</t>
        </is>
      </c>
      <c r="C207" s="40" t="inlineStr">
        <is>
          <t>Adyar</t>
        </is>
      </c>
      <c r="D207" s="39" t="n">
        <v>2025</v>
      </c>
      <c r="E207" s="39" t="inlineStr">
        <is>
          <t>Historical Observed</t>
        </is>
      </c>
      <c r="F207" s="41" t="n">
        <v>676216.66</v>
      </c>
      <c r="G207" s="41" t="n">
        <v>11294265.31764706</v>
      </c>
      <c r="H207" s="42" t="n">
        <v>11.29426531764706</v>
      </c>
      <c r="I207" s="42" t="n">
        <v>42.09184498257586</v>
      </c>
      <c r="J207" s="40" t="inlineStr">
        <is>
          <t>Observed GHSL epoch</t>
        </is>
      </c>
      <c r="K207" s="42" t="n">
        <v>91.28924910000001</v>
      </c>
      <c r="L207" s="42" t="n">
        <v>2366.75831</v>
      </c>
      <c r="M207" s="41" t="n">
        <v>2029</v>
      </c>
      <c r="N207" s="41" t="n">
        <v>33811</v>
      </c>
    </row>
    <row r="208">
      <c r="A208" s="43" t="n">
        <v>13</v>
      </c>
      <c r="B208" s="43" t="inlineStr">
        <is>
          <t>XIII</t>
        </is>
      </c>
      <c r="C208" s="44" t="inlineStr">
        <is>
          <t>Adyar</t>
        </is>
      </c>
      <c r="D208" s="43" t="n">
        <v>2026</v>
      </c>
      <c r="E208" s="43" t="inlineStr">
        <is>
          <t>Historical Observed</t>
        </is>
      </c>
      <c r="F208" s="45" t="n">
        <v>678659.61</v>
      </c>
      <c r="G208" s="45" t="n">
        <v>11302806.51764706</v>
      </c>
      <c r="H208" s="46" t="n">
        <v>11.30280651764706</v>
      </c>
      <c r="I208" s="46" t="n">
        <v>44.66976229679879</v>
      </c>
      <c r="J208" s="44" t="inlineStr">
        <is>
          <t>Linear interpolation between GHSL epochs</t>
        </is>
      </c>
      <c r="K208" s="46" t="n">
        <v>91.61904734999999</v>
      </c>
      <c r="L208" s="46" t="n">
        <v>2375.308635</v>
      </c>
      <c r="M208" s="45" t="n">
        <v>2036</v>
      </c>
      <c r="N208" s="45" t="n">
        <v>33933</v>
      </c>
    </row>
    <row r="209">
      <c r="A209" s="47" t="n">
        <v>13</v>
      </c>
      <c r="B209" s="47" t="inlineStr">
        <is>
          <t>XIII</t>
        </is>
      </c>
      <c r="C209" s="48" t="inlineStr">
        <is>
          <t>Adyar</t>
        </is>
      </c>
      <c r="D209" s="47" t="n">
        <v>2027</v>
      </c>
      <c r="E209" s="49" t="inlineStr">
        <is>
          <t>Hybrid ML Forecast</t>
        </is>
      </c>
      <c r="F209" s="50" t="n">
        <v>680965.4399999999</v>
      </c>
      <c r="G209" s="50" t="n">
        <v>11311347.71764706</v>
      </c>
      <c r="H209" s="51" t="n">
        <v>11.31134771764706</v>
      </c>
      <c r="I209" s="52" t="n">
        <v>0</v>
      </c>
      <c r="J209" s="48" t="inlineStr">
        <is>
          <t>Linear interpolation between GHSL epochs</t>
        </is>
      </c>
      <c r="K209" s="51" t="n">
        <v>91.93033439999999</v>
      </c>
      <c r="L209" s="51" t="n">
        <v>2383.37904</v>
      </c>
      <c r="M209" s="50" t="n">
        <v>2043</v>
      </c>
      <c r="N209" s="50" t="n">
        <v>34048</v>
      </c>
    </row>
    <row r="210">
      <c r="A210" s="47" t="n">
        <v>13</v>
      </c>
      <c r="B210" s="47" t="inlineStr">
        <is>
          <t>XIII</t>
        </is>
      </c>
      <c r="C210" s="48" t="inlineStr">
        <is>
          <t>Adyar</t>
        </is>
      </c>
      <c r="D210" s="47" t="n">
        <v>2028</v>
      </c>
      <c r="E210" s="49" t="inlineStr">
        <is>
          <t>Hybrid ML Forecast</t>
        </is>
      </c>
      <c r="F210" s="50" t="n">
        <v>683273.7</v>
      </c>
      <c r="G210" s="50" t="n">
        <v>11319888.91764706</v>
      </c>
      <c r="H210" s="51" t="n">
        <v>11.31988891764706</v>
      </c>
      <c r="I210" s="52" t="n">
        <v>0</v>
      </c>
      <c r="J210" s="48" t="inlineStr">
        <is>
          <t>Linear interpolation between GHSL epochs</t>
        </is>
      </c>
      <c r="K210" s="51" t="n">
        <v>92.2419495</v>
      </c>
      <c r="L210" s="51" t="n">
        <v>2391.45795</v>
      </c>
      <c r="M210" s="50" t="n">
        <v>2050</v>
      </c>
      <c r="N210" s="50" t="n">
        <v>34164</v>
      </c>
    </row>
    <row r="211">
      <c r="A211" s="47" t="n">
        <v>13</v>
      </c>
      <c r="B211" s="47" t="inlineStr">
        <is>
          <t>XIII</t>
        </is>
      </c>
      <c r="C211" s="48" t="inlineStr">
        <is>
          <t>Adyar</t>
        </is>
      </c>
      <c r="D211" s="47" t="n">
        <v>2029</v>
      </c>
      <c r="E211" s="49" t="inlineStr">
        <is>
          <t>Hybrid ML Forecast</t>
        </is>
      </c>
      <c r="F211" s="50" t="n">
        <v>685479.14</v>
      </c>
      <c r="G211" s="50" t="n">
        <v>11328430.11764706</v>
      </c>
      <c r="H211" s="51" t="n">
        <v>11.32843011764706</v>
      </c>
      <c r="I211" s="52" t="n">
        <v>0</v>
      </c>
      <c r="J211" s="48" t="inlineStr">
        <is>
          <t>Linear interpolation between GHSL epochs</t>
        </is>
      </c>
      <c r="K211" s="51" t="n">
        <v>92.5396839</v>
      </c>
      <c r="L211" s="51" t="n">
        <v>2399.17699</v>
      </c>
      <c r="M211" s="50" t="n">
        <v>2056</v>
      </c>
      <c r="N211" s="50" t="n">
        <v>34274</v>
      </c>
    </row>
    <row r="212">
      <c r="A212" s="47" t="n">
        <v>13</v>
      </c>
      <c r="B212" s="47" t="inlineStr">
        <is>
          <t>XIII</t>
        </is>
      </c>
      <c r="C212" s="48" t="inlineStr">
        <is>
          <t>Adyar</t>
        </is>
      </c>
      <c r="D212" s="47" t="n">
        <v>2030</v>
      </c>
      <c r="E212" s="49" t="inlineStr">
        <is>
          <t>Hybrid ML Forecast</t>
        </is>
      </c>
      <c r="F212" s="50" t="n">
        <v>687635.89</v>
      </c>
      <c r="G212" s="50" t="n">
        <v>11336971.31764706</v>
      </c>
      <c r="H212" s="51" t="n">
        <v>11.33697131764706</v>
      </c>
      <c r="I212" s="52" t="n">
        <v>0</v>
      </c>
      <c r="J212" s="48" t="inlineStr">
        <is>
          <t>Observed GHSL epoch</t>
        </is>
      </c>
      <c r="K212" s="51" t="n">
        <v>92.83084515</v>
      </c>
      <c r="L212" s="51" t="n">
        <v>2406.725615</v>
      </c>
      <c r="M212" s="50" t="n">
        <v>2063</v>
      </c>
      <c r="N212" s="50" t="n">
        <v>34382</v>
      </c>
    </row>
    <row r="213">
      <c r="A213" s="39" t="n">
        <v>14</v>
      </c>
      <c r="B213" s="39" t="inlineStr">
        <is>
          <t>XIV</t>
        </is>
      </c>
      <c r="C213" s="40" t="inlineStr">
        <is>
          <t>Perungudi</t>
        </is>
      </c>
      <c r="D213" s="39" t="n">
        <v>2015</v>
      </c>
      <c r="E213" s="39" t="inlineStr">
        <is>
          <t>Historical Observed</t>
        </is>
      </c>
      <c r="F213" s="41" t="n">
        <v>438730.1</v>
      </c>
      <c r="G213" s="41" t="n">
        <v>9353344.760784309</v>
      </c>
      <c r="H213" s="42" t="n">
        <v>9.35334476078431</v>
      </c>
      <c r="I213" s="42" t="n">
        <v>30.94141161628616</v>
      </c>
      <c r="J213" s="40" t="inlineStr">
        <is>
          <t>Observed GHSL epoch</t>
        </is>
      </c>
      <c r="K213" s="42" t="n">
        <v>59.2285635</v>
      </c>
      <c r="L213" s="42" t="n">
        <v>1535.55535</v>
      </c>
      <c r="M213" s="41" t="n">
        <v>1316</v>
      </c>
      <c r="N213" s="41" t="n">
        <v>21937</v>
      </c>
    </row>
    <row r="214">
      <c r="A214" s="43" t="n">
        <v>14</v>
      </c>
      <c r="B214" s="43" t="inlineStr">
        <is>
          <t>XIV</t>
        </is>
      </c>
      <c r="C214" s="44" t="inlineStr">
        <is>
          <t>Perungudi</t>
        </is>
      </c>
      <c r="D214" s="43" t="n">
        <v>2016</v>
      </c>
      <c r="E214" s="43" t="inlineStr">
        <is>
          <t>Historical Observed</t>
        </is>
      </c>
      <c r="F214" s="45" t="n">
        <v>441400.87</v>
      </c>
      <c r="G214" s="45" t="n">
        <v>9371705.171764702</v>
      </c>
      <c r="H214" s="46" t="n">
        <v>9.371705171764702</v>
      </c>
      <c r="I214" s="46" t="n">
        <v>26.17513021253112</v>
      </c>
      <c r="J214" s="44" t="inlineStr">
        <is>
          <t>Linear interpolation between GHSL epochs</t>
        </is>
      </c>
      <c r="K214" s="46" t="n">
        <v>59.58911745</v>
      </c>
      <c r="L214" s="46" t="n">
        <v>1544.903045</v>
      </c>
      <c r="M214" s="45" t="n">
        <v>1324</v>
      </c>
      <c r="N214" s="45" t="n">
        <v>22070</v>
      </c>
    </row>
    <row r="215">
      <c r="A215" s="39" t="n">
        <v>14</v>
      </c>
      <c r="B215" s="39" t="inlineStr">
        <is>
          <t>XIV</t>
        </is>
      </c>
      <c r="C215" s="40" t="inlineStr">
        <is>
          <t>Perungudi</t>
        </is>
      </c>
      <c r="D215" s="39" t="n">
        <v>2017</v>
      </c>
      <c r="E215" s="39" t="inlineStr">
        <is>
          <t>Historical Observed</t>
        </is>
      </c>
      <c r="F215" s="41" t="n">
        <v>444093.54</v>
      </c>
      <c r="G215" s="41" t="n">
        <v>9390065.582745094</v>
      </c>
      <c r="H215" s="42" t="n">
        <v>9.390065582745095</v>
      </c>
      <c r="I215" s="42" t="n">
        <v>29.1202768897042</v>
      </c>
      <c r="J215" s="40" t="inlineStr">
        <is>
          <t>Linear interpolation between GHSL epochs</t>
        </is>
      </c>
      <c r="K215" s="42" t="n">
        <v>59.9526279</v>
      </c>
      <c r="L215" s="42" t="n">
        <v>1554.32739</v>
      </c>
      <c r="M215" s="41" t="n">
        <v>1332</v>
      </c>
      <c r="N215" s="41" t="n">
        <v>22205</v>
      </c>
    </row>
    <row r="216">
      <c r="A216" s="43" t="n">
        <v>14</v>
      </c>
      <c r="B216" s="43" t="inlineStr">
        <is>
          <t>XIV</t>
        </is>
      </c>
      <c r="C216" s="44" t="inlineStr">
        <is>
          <t>Perungudi</t>
        </is>
      </c>
      <c r="D216" s="43" t="n">
        <v>2018</v>
      </c>
      <c r="E216" s="43" t="inlineStr">
        <is>
          <t>Historical Observed</t>
        </is>
      </c>
      <c r="F216" s="45" t="n">
        <v>446496.52</v>
      </c>
      <c r="G216" s="45" t="n">
        <v>9408425.993725484</v>
      </c>
      <c r="H216" s="46" t="n">
        <v>9.408425993725483</v>
      </c>
      <c r="I216" s="46" t="n">
        <v>28.93344352758771</v>
      </c>
      <c r="J216" s="44" t="inlineStr">
        <is>
          <t>Linear interpolation between GHSL epochs</t>
        </is>
      </c>
      <c r="K216" s="46" t="n">
        <v>60.27703020000001</v>
      </c>
      <c r="L216" s="46" t="n">
        <v>1562.73782</v>
      </c>
      <c r="M216" s="45" t="n">
        <v>1339</v>
      </c>
      <c r="N216" s="45" t="n">
        <v>22325</v>
      </c>
    </row>
    <row r="217">
      <c r="A217" s="39" t="n">
        <v>14</v>
      </c>
      <c r="B217" s="39" t="inlineStr">
        <is>
          <t>XIV</t>
        </is>
      </c>
      <c r="C217" s="40" t="inlineStr">
        <is>
          <t>Perungudi</t>
        </is>
      </c>
      <c r="D217" s="39" t="n">
        <v>2019</v>
      </c>
      <c r="E217" s="39" t="inlineStr">
        <is>
          <t>Historical Observed</t>
        </is>
      </c>
      <c r="F217" s="41" t="n">
        <v>448838.73</v>
      </c>
      <c r="G217" s="41" t="n">
        <v>9426786.404705876</v>
      </c>
      <c r="H217" s="42" t="n">
        <v>9.426786404705876</v>
      </c>
      <c r="I217" s="42" t="n">
        <v>30.43874415259005</v>
      </c>
      <c r="J217" s="40" t="inlineStr">
        <is>
          <t>Linear interpolation between GHSL epochs</t>
        </is>
      </c>
      <c r="K217" s="42" t="n">
        <v>60.59322855</v>
      </c>
      <c r="L217" s="42" t="n">
        <v>1570.935555</v>
      </c>
      <c r="M217" s="41" t="n">
        <v>1347</v>
      </c>
      <c r="N217" s="41" t="n">
        <v>22442</v>
      </c>
    </row>
    <row r="218">
      <c r="A218" s="43" t="n">
        <v>14</v>
      </c>
      <c r="B218" s="43" t="inlineStr">
        <is>
          <t>XIV</t>
        </is>
      </c>
      <c r="C218" s="44" t="inlineStr">
        <is>
          <t>Perungudi</t>
        </is>
      </c>
      <c r="D218" s="43" t="n">
        <v>2020</v>
      </c>
      <c r="E218" s="43" t="inlineStr">
        <is>
          <t>Historical Observed</t>
        </is>
      </c>
      <c r="F218" s="45" t="n">
        <v>450918.78</v>
      </c>
      <c r="G218" s="45" t="n">
        <v>9445146.815686269</v>
      </c>
      <c r="H218" s="46" t="n">
        <v>9.445146815686268</v>
      </c>
      <c r="I218" s="46" t="n">
        <v>28.27245312137182</v>
      </c>
      <c r="J218" s="44" t="inlineStr">
        <is>
          <t>Observed GHSL epoch</t>
        </is>
      </c>
      <c r="K218" s="46" t="n">
        <v>60.8740353</v>
      </c>
      <c r="L218" s="46" t="n">
        <v>1578.21573</v>
      </c>
      <c r="M218" s="45" t="n">
        <v>1353</v>
      </c>
      <c r="N218" s="45" t="n">
        <v>22546</v>
      </c>
    </row>
    <row r="219">
      <c r="A219" s="39" t="n">
        <v>14</v>
      </c>
      <c r="B219" s="39" t="inlineStr">
        <is>
          <t>XIV</t>
        </is>
      </c>
      <c r="C219" s="40" t="inlineStr">
        <is>
          <t>Perungudi</t>
        </is>
      </c>
      <c r="D219" s="39" t="n">
        <v>2021</v>
      </c>
      <c r="E219" s="39" t="inlineStr">
        <is>
          <t>Historical Observed</t>
        </is>
      </c>
      <c r="F219" s="41" t="n">
        <v>452892</v>
      </c>
      <c r="G219" s="41" t="n">
        <v>9490413.001568621</v>
      </c>
      <c r="H219" s="42" t="n">
        <v>9.490413001568621</v>
      </c>
      <c r="I219" s="42" t="n">
        <v>31.54379464920895</v>
      </c>
      <c r="J219" s="40" t="inlineStr">
        <is>
          <t>Linear interpolation between GHSL epochs</t>
        </is>
      </c>
      <c r="K219" s="42" t="n">
        <v>61.14042</v>
      </c>
      <c r="L219" s="42" t="n">
        <v>1585.122</v>
      </c>
      <c r="M219" s="41" t="n">
        <v>1359</v>
      </c>
      <c r="N219" s="41" t="n">
        <v>22645</v>
      </c>
    </row>
    <row r="220">
      <c r="A220" s="43" t="n">
        <v>14</v>
      </c>
      <c r="B220" s="43" t="inlineStr">
        <is>
          <t>XIV</t>
        </is>
      </c>
      <c r="C220" s="44" t="inlineStr">
        <is>
          <t>Perungudi</t>
        </is>
      </c>
      <c r="D220" s="43" t="n">
        <v>2022</v>
      </c>
      <c r="E220" s="43" t="inlineStr">
        <is>
          <t>Historical Observed</t>
        </is>
      </c>
      <c r="F220" s="45" t="n">
        <v>454337.64</v>
      </c>
      <c r="G220" s="45" t="n">
        <v>9535679.187450975</v>
      </c>
      <c r="H220" s="46" t="n">
        <v>9.535679187450976</v>
      </c>
      <c r="I220" s="46" t="n">
        <v>33.00506368255916</v>
      </c>
      <c r="J220" s="44" t="inlineStr">
        <is>
          <t>Linear interpolation between GHSL epochs</t>
        </is>
      </c>
      <c r="K220" s="46" t="n">
        <v>61.3355814</v>
      </c>
      <c r="L220" s="46" t="n">
        <v>1590.18174</v>
      </c>
      <c r="M220" s="45" t="n">
        <v>1363</v>
      </c>
      <c r="N220" s="45" t="n">
        <v>22717</v>
      </c>
    </row>
    <row r="221">
      <c r="A221" s="39" t="n">
        <v>14</v>
      </c>
      <c r="B221" s="39" t="inlineStr">
        <is>
          <t>XIV</t>
        </is>
      </c>
      <c r="C221" s="40" t="inlineStr">
        <is>
          <t>Perungudi</t>
        </is>
      </c>
      <c r="D221" s="39" t="n">
        <v>2023</v>
      </c>
      <c r="E221" s="39" t="inlineStr">
        <is>
          <t>Historical Observed</t>
        </is>
      </c>
      <c r="F221" s="41" t="n">
        <v>456155.45</v>
      </c>
      <c r="G221" s="41" t="n">
        <v>9580945.373333327</v>
      </c>
      <c r="H221" s="42" t="n">
        <v>9.580945373333327</v>
      </c>
      <c r="I221" s="42" t="n">
        <v>36.58365658506322</v>
      </c>
      <c r="J221" s="40" t="inlineStr">
        <is>
          <t>Linear interpolation between GHSL epochs</t>
        </is>
      </c>
      <c r="K221" s="42" t="n">
        <v>61.58098575</v>
      </c>
      <c r="L221" s="42" t="n">
        <v>1596.544075</v>
      </c>
      <c r="M221" s="41" t="n">
        <v>1368</v>
      </c>
      <c r="N221" s="41" t="n">
        <v>22808</v>
      </c>
    </row>
    <row r="222">
      <c r="A222" s="43" t="n">
        <v>14</v>
      </c>
      <c r="B222" s="43" t="inlineStr">
        <is>
          <t>XIV</t>
        </is>
      </c>
      <c r="C222" s="44" t="inlineStr">
        <is>
          <t>Perungudi</t>
        </is>
      </c>
      <c r="D222" s="43" t="n">
        <v>2024</v>
      </c>
      <c r="E222" s="43" t="inlineStr">
        <is>
          <t>Historical Observed</t>
        </is>
      </c>
      <c r="F222" s="45" t="n">
        <v>457936.2</v>
      </c>
      <c r="G222" s="45" t="n">
        <v>9626211.559215682</v>
      </c>
      <c r="H222" s="46" t="n">
        <v>9.626211559215681</v>
      </c>
      <c r="I222" s="46" t="n">
        <v>36.14944431237841</v>
      </c>
      <c r="J222" s="44" t="inlineStr">
        <is>
          <t>Linear interpolation between GHSL epochs</t>
        </is>
      </c>
      <c r="K222" s="46" t="n">
        <v>61.821387</v>
      </c>
      <c r="L222" s="46" t="n">
        <v>1602.7767</v>
      </c>
      <c r="M222" s="45" t="n">
        <v>1374</v>
      </c>
      <c r="N222" s="45" t="n">
        <v>22897</v>
      </c>
    </row>
    <row r="223">
      <c r="A223" s="39" t="n">
        <v>14</v>
      </c>
      <c r="B223" s="39" t="inlineStr">
        <is>
          <t>XIV</t>
        </is>
      </c>
      <c r="C223" s="40" t="inlineStr">
        <is>
          <t>Perungudi</t>
        </is>
      </c>
      <c r="D223" s="39" t="n">
        <v>2025</v>
      </c>
      <c r="E223" s="39" t="inlineStr">
        <is>
          <t>Historical Observed</t>
        </is>
      </c>
      <c r="F223" s="41" t="n">
        <v>459731.82</v>
      </c>
      <c r="G223" s="41" t="n">
        <v>9671477.745098034</v>
      </c>
      <c r="H223" s="42" t="n">
        <v>9.671477745098034</v>
      </c>
      <c r="I223" s="42" t="n">
        <v>38.69405348064504</v>
      </c>
      <c r="J223" s="40" t="inlineStr">
        <is>
          <t>Observed GHSL epoch</t>
        </is>
      </c>
      <c r="K223" s="42" t="n">
        <v>62.0637957</v>
      </c>
      <c r="L223" s="42" t="n">
        <v>1609.06137</v>
      </c>
      <c r="M223" s="41" t="n">
        <v>1379</v>
      </c>
      <c r="N223" s="41" t="n">
        <v>22987</v>
      </c>
    </row>
    <row r="224">
      <c r="A224" s="43" t="n">
        <v>14</v>
      </c>
      <c r="B224" s="43" t="inlineStr">
        <is>
          <t>XIV</t>
        </is>
      </c>
      <c r="C224" s="44" t="inlineStr">
        <is>
          <t>Perungudi</t>
        </is>
      </c>
      <c r="D224" s="43" t="n">
        <v>2026</v>
      </c>
      <c r="E224" s="43" t="inlineStr">
        <is>
          <t>Historical Observed</t>
        </is>
      </c>
      <c r="F224" s="45" t="n">
        <v>461512.4</v>
      </c>
      <c r="G224" s="45" t="n">
        <v>9693778.968627447</v>
      </c>
      <c r="H224" s="46" t="n">
        <v>9.693778968627447</v>
      </c>
      <c r="I224" s="46" t="n">
        <v>39.26529342939119</v>
      </c>
      <c r="J224" s="44" t="inlineStr">
        <is>
          <t>Linear interpolation between GHSL epochs</t>
        </is>
      </c>
      <c r="K224" s="46" t="n">
        <v>62.304174</v>
      </c>
      <c r="L224" s="46" t="n">
        <v>1615.2934</v>
      </c>
      <c r="M224" s="45" t="n">
        <v>1385</v>
      </c>
      <c r="N224" s="45" t="n">
        <v>23076</v>
      </c>
    </row>
    <row r="225">
      <c r="A225" s="47" t="n">
        <v>14</v>
      </c>
      <c r="B225" s="47" t="inlineStr">
        <is>
          <t>XIV</t>
        </is>
      </c>
      <c r="C225" s="48" t="inlineStr">
        <is>
          <t>Perungudi</t>
        </is>
      </c>
      <c r="D225" s="47" t="n">
        <v>2027</v>
      </c>
      <c r="E225" s="49" t="inlineStr">
        <is>
          <t>Hybrid ML Forecast</t>
        </is>
      </c>
      <c r="F225" s="50" t="n">
        <v>463195.55</v>
      </c>
      <c r="G225" s="50" t="n">
        <v>9716080.192156859</v>
      </c>
      <c r="H225" s="51" t="n">
        <v>9.716080192156859</v>
      </c>
      <c r="I225" s="52" t="n">
        <v>0</v>
      </c>
      <c r="J225" s="48" t="inlineStr">
        <is>
          <t>Linear interpolation between GHSL epochs</t>
        </is>
      </c>
      <c r="K225" s="51" t="n">
        <v>62.53139925</v>
      </c>
      <c r="L225" s="51" t="n">
        <v>1621.184425</v>
      </c>
      <c r="M225" s="50" t="n">
        <v>1390</v>
      </c>
      <c r="N225" s="50" t="n">
        <v>23160</v>
      </c>
    </row>
    <row r="226">
      <c r="A226" s="47" t="n">
        <v>14</v>
      </c>
      <c r="B226" s="47" t="inlineStr">
        <is>
          <t>XIV</t>
        </is>
      </c>
      <c r="C226" s="48" t="inlineStr">
        <is>
          <t>Perungudi</t>
        </is>
      </c>
      <c r="D226" s="47" t="n">
        <v>2028</v>
      </c>
      <c r="E226" s="49" t="inlineStr">
        <is>
          <t>Hybrid ML Forecast</t>
        </is>
      </c>
      <c r="F226" s="50" t="n">
        <v>464881.86</v>
      </c>
      <c r="G226" s="50" t="n">
        <v>9738381.415686272</v>
      </c>
      <c r="H226" s="51" t="n">
        <v>9.738381415686272</v>
      </c>
      <c r="I226" s="52" t="n">
        <v>0</v>
      </c>
      <c r="J226" s="48" t="inlineStr">
        <is>
          <t>Linear interpolation between GHSL epochs</t>
        </is>
      </c>
      <c r="K226" s="51" t="n">
        <v>62.7590511</v>
      </c>
      <c r="L226" s="51" t="n">
        <v>1627.08651</v>
      </c>
      <c r="M226" s="50" t="n">
        <v>1395</v>
      </c>
      <c r="N226" s="50" t="n">
        <v>23244</v>
      </c>
    </row>
    <row r="227">
      <c r="A227" s="47" t="n">
        <v>14</v>
      </c>
      <c r="B227" s="47" t="inlineStr">
        <is>
          <t>XIV</t>
        </is>
      </c>
      <c r="C227" s="48" t="inlineStr">
        <is>
          <t>Perungudi</t>
        </is>
      </c>
      <c r="D227" s="47" t="n">
        <v>2029</v>
      </c>
      <c r="E227" s="49" t="inlineStr">
        <is>
          <t>Hybrid ML Forecast</t>
        </is>
      </c>
      <c r="F227" s="50" t="n">
        <v>466495.11</v>
      </c>
      <c r="G227" s="50" t="n">
        <v>9760682.639215684</v>
      </c>
      <c r="H227" s="51" t="n">
        <v>9.760682639215684</v>
      </c>
      <c r="I227" s="52" t="n">
        <v>0</v>
      </c>
      <c r="J227" s="48" t="inlineStr">
        <is>
          <t>Linear interpolation between GHSL epochs</t>
        </is>
      </c>
      <c r="K227" s="51" t="n">
        <v>62.97683985</v>
      </c>
      <c r="L227" s="51" t="n">
        <v>1632.732885</v>
      </c>
      <c r="M227" s="50" t="n">
        <v>1399</v>
      </c>
      <c r="N227" s="50" t="n">
        <v>23325</v>
      </c>
    </row>
    <row r="228">
      <c r="A228" s="47" t="n">
        <v>14</v>
      </c>
      <c r="B228" s="47" t="inlineStr">
        <is>
          <t>XIV</t>
        </is>
      </c>
      <c r="C228" s="48" t="inlineStr">
        <is>
          <t>Perungudi</t>
        </is>
      </c>
      <c r="D228" s="47" t="n">
        <v>2030</v>
      </c>
      <c r="E228" s="49" t="inlineStr">
        <is>
          <t>Hybrid ML Forecast</t>
        </is>
      </c>
      <c r="F228" s="50" t="n">
        <v>468084.38</v>
      </c>
      <c r="G228" s="50" t="n">
        <v>9782983.862745097</v>
      </c>
      <c r="H228" s="51" t="n">
        <v>9.782983862745096</v>
      </c>
      <c r="I228" s="52" t="n">
        <v>0</v>
      </c>
      <c r="J228" s="48" t="inlineStr">
        <is>
          <t>Observed GHSL epoch</t>
        </is>
      </c>
      <c r="K228" s="51" t="n">
        <v>63.1913913</v>
      </c>
      <c r="L228" s="51" t="n">
        <v>1638.29533</v>
      </c>
      <c r="M228" s="50" t="n">
        <v>1404</v>
      </c>
      <c r="N228" s="50" t="n">
        <v>23404</v>
      </c>
    </row>
    <row r="229">
      <c r="A229" s="39" t="n">
        <v>15</v>
      </c>
      <c r="B229" s="39" t="inlineStr">
        <is>
          <t>XV</t>
        </is>
      </c>
      <c r="C229" s="40" t="inlineStr">
        <is>
          <t>Sholinganallur</t>
        </is>
      </c>
      <c r="D229" s="39" t="n">
        <v>2015</v>
      </c>
      <c r="E229" s="39" t="inlineStr">
        <is>
          <t>Historical Observed</t>
        </is>
      </c>
      <c r="F229" s="41" t="n">
        <v>166866.61</v>
      </c>
      <c r="G229" s="41" t="n">
        <v>8459441.239215687</v>
      </c>
      <c r="H229" s="42" t="n">
        <v>8.459441239215687</v>
      </c>
      <c r="I229" s="42" t="n">
        <v>27.51704826830321</v>
      </c>
      <c r="J229" s="40" t="inlineStr">
        <is>
          <t>Observed GHSL epoch</t>
        </is>
      </c>
      <c r="K229" s="42" t="n">
        <v>22.52699235</v>
      </c>
      <c r="L229" s="42" t="n">
        <v>584.033135</v>
      </c>
      <c r="M229" s="41" t="n">
        <v>501</v>
      </c>
      <c r="N229" s="41" t="n">
        <v>8343</v>
      </c>
    </row>
    <row r="230">
      <c r="A230" s="43" t="n">
        <v>15</v>
      </c>
      <c r="B230" s="43" t="inlineStr">
        <is>
          <t>XV</t>
        </is>
      </c>
      <c r="C230" s="44" t="inlineStr">
        <is>
          <t>Sholinganallur</t>
        </is>
      </c>
      <c r="D230" s="43" t="n">
        <v>2016</v>
      </c>
      <c r="E230" s="43" t="inlineStr">
        <is>
          <t>Historical Observed</t>
        </is>
      </c>
      <c r="F230" s="45" t="n">
        <v>167846.95</v>
      </c>
      <c r="G230" s="45" t="n">
        <v>8510538.312156864</v>
      </c>
      <c r="H230" s="46" t="n">
        <v>8.510538312156864</v>
      </c>
      <c r="I230" s="46" t="n">
        <v>25.57301495400007</v>
      </c>
      <c r="J230" s="44" t="inlineStr">
        <is>
          <t>Linear interpolation between GHSL epochs</t>
        </is>
      </c>
      <c r="K230" s="46" t="n">
        <v>22.65933825</v>
      </c>
      <c r="L230" s="46" t="n">
        <v>587.464325</v>
      </c>
      <c r="M230" s="45" t="n">
        <v>504</v>
      </c>
      <c r="N230" s="45" t="n">
        <v>8392</v>
      </c>
    </row>
    <row r="231">
      <c r="A231" s="39" t="n">
        <v>15</v>
      </c>
      <c r="B231" s="39" t="inlineStr">
        <is>
          <t>XV</t>
        </is>
      </c>
      <c r="C231" s="40" t="inlineStr">
        <is>
          <t>Sholinganallur</t>
        </is>
      </c>
      <c r="D231" s="39" t="n">
        <v>2017</v>
      </c>
      <c r="E231" s="39" t="inlineStr">
        <is>
          <t>Historical Observed</t>
        </is>
      </c>
      <c r="F231" s="41" t="n">
        <v>168836.4</v>
      </c>
      <c r="G231" s="41" t="n">
        <v>8561635.38509804</v>
      </c>
      <c r="H231" s="42" t="n">
        <v>8.56163538509804</v>
      </c>
      <c r="I231" s="42" t="n">
        <v>26.37702756846105</v>
      </c>
      <c r="J231" s="40" t="inlineStr">
        <is>
          <t>Linear interpolation between GHSL epochs</t>
        </is>
      </c>
      <c r="K231" s="42" t="n">
        <v>22.792914</v>
      </c>
      <c r="L231" s="42" t="n">
        <v>590.9274</v>
      </c>
      <c r="M231" s="41" t="n">
        <v>507</v>
      </c>
      <c r="N231" s="41" t="n">
        <v>8442</v>
      </c>
    </row>
    <row r="232">
      <c r="A232" s="43" t="n">
        <v>15</v>
      </c>
      <c r="B232" s="43" t="inlineStr">
        <is>
          <t>XV</t>
        </is>
      </c>
      <c r="C232" s="44" t="inlineStr">
        <is>
          <t>Sholinganallur</t>
        </is>
      </c>
      <c r="D232" s="43" t="n">
        <v>2018</v>
      </c>
      <c r="E232" s="43" t="inlineStr">
        <is>
          <t>Historical Observed</t>
        </is>
      </c>
      <c r="F232" s="45" t="n">
        <v>169725.17</v>
      </c>
      <c r="G232" s="45" t="n">
        <v>8612732.458039217</v>
      </c>
      <c r="H232" s="46" t="n">
        <v>8.612732458039217</v>
      </c>
      <c r="I232" s="46" t="n">
        <v>27.48584692523123</v>
      </c>
      <c r="J232" s="44" t="inlineStr">
        <is>
          <t>Linear interpolation between GHSL epochs</t>
        </is>
      </c>
      <c r="K232" s="46" t="n">
        <v>22.91289795</v>
      </c>
      <c r="L232" s="46" t="n">
        <v>594.0380950000001</v>
      </c>
      <c r="M232" s="45" t="n">
        <v>509</v>
      </c>
      <c r="N232" s="45" t="n">
        <v>8486</v>
      </c>
    </row>
    <row r="233">
      <c r="A233" s="39" t="n">
        <v>15</v>
      </c>
      <c r="B233" s="39" t="inlineStr">
        <is>
          <t>XV</t>
        </is>
      </c>
      <c r="C233" s="40" t="inlineStr">
        <is>
          <t>Sholinganallur</t>
        </is>
      </c>
      <c r="D233" s="39" t="n">
        <v>2019</v>
      </c>
      <c r="E233" s="39" t="inlineStr">
        <is>
          <t>Historical Observed</t>
        </is>
      </c>
      <c r="F233" s="41" t="n">
        <v>170593.64</v>
      </c>
      <c r="G233" s="41" t="n">
        <v>8663829.530980393</v>
      </c>
      <c r="H233" s="42" t="n">
        <v>8.663829530980394</v>
      </c>
      <c r="I233" s="42" t="n">
        <v>27.23486924203545</v>
      </c>
      <c r="J233" s="40" t="inlineStr">
        <is>
          <t>Linear interpolation between GHSL epochs</t>
        </is>
      </c>
      <c r="K233" s="42" t="n">
        <v>23.0301414</v>
      </c>
      <c r="L233" s="42" t="n">
        <v>597.0777399999999</v>
      </c>
      <c r="M233" s="41" t="n">
        <v>512</v>
      </c>
      <c r="N233" s="41" t="n">
        <v>8530</v>
      </c>
    </row>
    <row r="234">
      <c r="A234" s="43" t="n">
        <v>15</v>
      </c>
      <c r="B234" s="43" t="inlineStr">
        <is>
          <t>XV</t>
        </is>
      </c>
      <c r="C234" s="44" t="inlineStr">
        <is>
          <t>Sholinganallur</t>
        </is>
      </c>
      <c r="D234" s="43" t="n">
        <v>2020</v>
      </c>
      <c r="E234" s="43" t="inlineStr">
        <is>
          <t>Historical Observed</t>
        </is>
      </c>
      <c r="F234" s="45" t="n">
        <v>171366.81</v>
      </c>
      <c r="G234" s="45" t="n">
        <v>8714926.60392157</v>
      </c>
      <c r="H234" s="46" t="n">
        <v>8.714926603921571</v>
      </c>
      <c r="I234" s="46" t="n">
        <v>24.47754865366402</v>
      </c>
      <c r="J234" s="44" t="inlineStr">
        <is>
          <t>Observed GHSL epoch</t>
        </is>
      </c>
      <c r="K234" s="46" t="n">
        <v>23.13451935</v>
      </c>
      <c r="L234" s="46" t="n">
        <v>599.783835</v>
      </c>
      <c r="M234" s="45" t="n">
        <v>514</v>
      </c>
      <c r="N234" s="45" t="n">
        <v>8568</v>
      </c>
    </row>
    <row r="235">
      <c r="A235" s="39" t="n">
        <v>15</v>
      </c>
      <c r="B235" s="39" t="inlineStr">
        <is>
          <t>XV</t>
        </is>
      </c>
      <c r="C235" s="40" t="inlineStr">
        <is>
          <t>Sholinganallur</t>
        </is>
      </c>
      <c r="D235" s="39" t="n">
        <v>2021</v>
      </c>
      <c r="E235" s="39" t="inlineStr">
        <is>
          <t>Historical Observed</t>
        </is>
      </c>
      <c r="F235" s="41" t="n">
        <v>172094</v>
      </c>
      <c r="G235" s="41" t="n">
        <v>8766958.816470589</v>
      </c>
      <c r="H235" s="42" t="n">
        <v>8.76695881647059</v>
      </c>
      <c r="I235" s="42" t="n">
        <v>25.88154221486425</v>
      </c>
      <c r="J235" s="40" t="inlineStr">
        <is>
          <t>Linear interpolation between GHSL epochs</t>
        </is>
      </c>
      <c r="K235" s="42" t="n">
        <v>23.23269</v>
      </c>
      <c r="L235" s="42" t="n">
        <v>602.329</v>
      </c>
      <c r="M235" s="41" t="n">
        <v>516</v>
      </c>
      <c r="N235" s="41" t="n">
        <v>8605</v>
      </c>
    </row>
    <row r="236">
      <c r="A236" s="43" t="n">
        <v>15</v>
      </c>
      <c r="B236" s="43" t="inlineStr">
        <is>
          <t>XV</t>
        </is>
      </c>
      <c r="C236" s="44" t="inlineStr">
        <is>
          <t>Sholinganallur</t>
        </is>
      </c>
      <c r="D236" s="43" t="n">
        <v>2022</v>
      </c>
      <c r="E236" s="43" t="inlineStr">
        <is>
          <t>Historical Observed</t>
        </is>
      </c>
      <c r="F236" s="45" t="n">
        <v>172636.53</v>
      </c>
      <c r="G236" s="45" t="n">
        <v>8818991.029019609</v>
      </c>
      <c r="H236" s="46" t="n">
        <v>8.818991029019609</v>
      </c>
      <c r="I236" s="46" t="n">
        <v>28.25400402461798</v>
      </c>
      <c r="J236" s="44" t="inlineStr">
        <is>
          <t>Linear interpolation between GHSL epochs</t>
        </is>
      </c>
      <c r="K236" s="46" t="n">
        <v>23.30593155</v>
      </c>
      <c r="L236" s="46" t="n">
        <v>604.227855</v>
      </c>
      <c r="M236" s="45" t="n">
        <v>518</v>
      </c>
      <c r="N236" s="45" t="n">
        <v>8632</v>
      </c>
    </row>
    <row r="237">
      <c r="A237" s="39" t="n">
        <v>15</v>
      </c>
      <c r="B237" s="39" t="inlineStr">
        <is>
          <t>XV</t>
        </is>
      </c>
      <c r="C237" s="40" t="inlineStr">
        <is>
          <t>Sholinganallur</t>
        </is>
      </c>
      <c r="D237" s="39" t="n">
        <v>2023</v>
      </c>
      <c r="E237" s="39" t="inlineStr">
        <is>
          <t>Historical Observed</t>
        </is>
      </c>
      <c r="F237" s="41" t="n">
        <v>173317.08</v>
      </c>
      <c r="G237" s="41" t="n">
        <v>8871023.241568629</v>
      </c>
      <c r="H237" s="42" t="n">
        <v>8.871023241568629</v>
      </c>
      <c r="I237" s="42" t="n">
        <v>33.17684407773201</v>
      </c>
      <c r="J237" s="40" t="inlineStr">
        <is>
          <t>Linear interpolation between GHSL epochs</t>
        </is>
      </c>
      <c r="K237" s="42" t="n">
        <v>23.3978058</v>
      </c>
      <c r="L237" s="42" t="n">
        <v>606.6097799999999</v>
      </c>
      <c r="M237" s="41" t="n">
        <v>520</v>
      </c>
      <c r="N237" s="41" t="n">
        <v>8666</v>
      </c>
    </row>
    <row r="238">
      <c r="A238" s="43" t="n">
        <v>15</v>
      </c>
      <c r="B238" s="43" t="inlineStr">
        <is>
          <t>XV</t>
        </is>
      </c>
      <c r="C238" s="44" t="inlineStr">
        <is>
          <t>Sholinganallur</t>
        </is>
      </c>
      <c r="D238" s="43" t="n">
        <v>2024</v>
      </c>
      <c r="E238" s="43" t="inlineStr">
        <is>
          <t>Historical Observed</t>
        </is>
      </c>
      <c r="F238" s="45" t="n">
        <v>173979.68</v>
      </c>
      <c r="G238" s="45" t="n">
        <v>8923055.454117648</v>
      </c>
      <c r="H238" s="46" t="n">
        <v>8.923055454117648</v>
      </c>
      <c r="I238" s="46" t="n">
        <v>36.04027388474533</v>
      </c>
      <c r="J238" s="44" t="inlineStr">
        <is>
          <t>Linear interpolation between GHSL epochs</t>
        </is>
      </c>
      <c r="K238" s="46" t="n">
        <v>23.4872568</v>
      </c>
      <c r="L238" s="46" t="n">
        <v>608.92888</v>
      </c>
      <c r="M238" s="45" t="n">
        <v>522</v>
      </c>
      <c r="N238" s="45" t="n">
        <v>8699</v>
      </c>
    </row>
    <row r="239">
      <c r="A239" s="39" t="n">
        <v>15</v>
      </c>
      <c r="B239" s="39" t="inlineStr">
        <is>
          <t>XV</t>
        </is>
      </c>
      <c r="C239" s="40" t="inlineStr">
        <is>
          <t>Sholinganallur</t>
        </is>
      </c>
      <c r="D239" s="39" t="n">
        <v>2025</v>
      </c>
      <c r="E239" s="39" t="inlineStr">
        <is>
          <t>Historical Observed</t>
        </is>
      </c>
      <c r="F239" s="41" t="n">
        <v>174655.58</v>
      </c>
      <c r="G239" s="41" t="n">
        <v>8975087.666666668</v>
      </c>
      <c r="H239" s="42" t="n">
        <v>8.975087666666669</v>
      </c>
      <c r="I239" s="42" t="n">
        <v>39.56843005580368</v>
      </c>
      <c r="J239" s="40" t="inlineStr">
        <is>
          <t>Observed GHSL epoch</t>
        </is>
      </c>
      <c r="K239" s="42" t="n">
        <v>23.5785033</v>
      </c>
      <c r="L239" s="42" t="n">
        <v>611.2945299999999</v>
      </c>
      <c r="M239" s="41" t="n">
        <v>524</v>
      </c>
      <c r="N239" s="41" t="n">
        <v>8733</v>
      </c>
    </row>
    <row r="240">
      <c r="A240" s="43" t="n">
        <v>15</v>
      </c>
      <c r="B240" s="43" t="inlineStr">
        <is>
          <t>XV</t>
        </is>
      </c>
      <c r="C240" s="44" t="inlineStr">
        <is>
          <t>Sholinganallur</t>
        </is>
      </c>
      <c r="D240" s="43" t="n">
        <v>2026</v>
      </c>
      <c r="E240" s="43" t="inlineStr">
        <is>
          <t>Historical Observed</t>
        </is>
      </c>
      <c r="F240" s="45" t="n">
        <v>175326.87</v>
      </c>
      <c r="G240" s="45" t="n">
        <v>8985304.36392157</v>
      </c>
      <c r="H240" s="46" t="n">
        <v>8.98530436392157</v>
      </c>
      <c r="I240" s="46" t="n">
        <v>39.18458097494459</v>
      </c>
      <c r="J240" s="44" t="inlineStr">
        <is>
          <t>Linear interpolation between GHSL epochs</t>
        </is>
      </c>
      <c r="K240" s="46" t="n">
        <v>23.66912745</v>
      </c>
      <c r="L240" s="46" t="n">
        <v>613.6440449999999</v>
      </c>
      <c r="M240" s="45" t="n">
        <v>526</v>
      </c>
      <c r="N240" s="45" t="n">
        <v>8766</v>
      </c>
    </row>
    <row r="241">
      <c r="A241" s="47" t="n">
        <v>15</v>
      </c>
      <c r="B241" s="47" t="inlineStr">
        <is>
          <t>XV</t>
        </is>
      </c>
      <c r="C241" s="48" t="inlineStr">
        <is>
          <t>Sholinganallur</t>
        </is>
      </c>
      <c r="D241" s="47" t="n">
        <v>2027</v>
      </c>
      <c r="E241" s="49" t="inlineStr">
        <is>
          <t>Hybrid ML Forecast</t>
        </is>
      </c>
      <c r="F241" s="50" t="n">
        <v>175956.86</v>
      </c>
      <c r="G241" s="50" t="n">
        <v>8995521.061176473</v>
      </c>
      <c r="H241" s="51" t="n">
        <v>8.995521061176474</v>
      </c>
      <c r="I241" s="52" t="n">
        <v>0</v>
      </c>
      <c r="J241" s="48" t="inlineStr">
        <is>
          <t>Linear interpolation between GHSL epochs</t>
        </is>
      </c>
      <c r="K241" s="51" t="n">
        <v>23.7541761</v>
      </c>
      <c r="L241" s="51" t="n">
        <v>615.84901</v>
      </c>
      <c r="M241" s="50" t="n">
        <v>528</v>
      </c>
      <c r="N241" s="50" t="n">
        <v>8798</v>
      </c>
    </row>
    <row r="242">
      <c r="A242" s="47" t="n">
        <v>15</v>
      </c>
      <c r="B242" s="47" t="inlineStr">
        <is>
          <t>XV</t>
        </is>
      </c>
      <c r="C242" s="48" t="inlineStr">
        <is>
          <t>Sholinganallur</t>
        </is>
      </c>
      <c r="D242" s="47" t="n">
        <v>2028</v>
      </c>
      <c r="E242" s="49" t="inlineStr">
        <is>
          <t>Hybrid ML Forecast</t>
        </is>
      </c>
      <c r="F242" s="50" t="n">
        <v>176585.66</v>
      </c>
      <c r="G242" s="50" t="n">
        <v>9005737.758431375</v>
      </c>
      <c r="H242" s="51" t="n">
        <v>9.005737758431374</v>
      </c>
      <c r="I242" s="52" t="n">
        <v>0</v>
      </c>
      <c r="J242" s="48" t="inlineStr">
        <is>
          <t>Linear interpolation between GHSL epochs</t>
        </is>
      </c>
      <c r="K242" s="51" t="n">
        <v>23.8390641</v>
      </c>
      <c r="L242" s="51" t="n">
        <v>618.0498100000001</v>
      </c>
      <c r="M242" s="50" t="n">
        <v>530</v>
      </c>
      <c r="N242" s="50" t="n">
        <v>8829</v>
      </c>
    </row>
    <row r="243">
      <c r="A243" s="47" t="n">
        <v>15</v>
      </c>
      <c r="B243" s="47" t="inlineStr">
        <is>
          <t>XV</t>
        </is>
      </c>
      <c r="C243" s="48" t="inlineStr">
        <is>
          <t>Sholinganallur</t>
        </is>
      </c>
      <c r="D243" s="47" t="n">
        <v>2029</v>
      </c>
      <c r="E243" s="49" t="inlineStr">
        <is>
          <t>Hybrid ML Forecast</t>
        </is>
      </c>
      <c r="F243" s="50" t="n">
        <v>177191.12</v>
      </c>
      <c r="G243" s="50" t="n">
        <v>9015954.455686279</v>
      </c>
      <c r="H243" s="51" t="n">
        <v>9.015954455686279</v>
      </c>
      <c r="I243" s="52" t="n">
        <v>0</v>
      </c>
      <c r="J243" s="48" t="inlineStr">
        <is>
          <t>Linear interpolation between GHSL epochs</t>
        </is>
      </c>
      <c r="K243" s="51" t="n">
        <v>23.9208012</v>
      </c>
      <c r="L243" s="51" t="n">
        <v>620.16892</v>
      </c>
      <c r="M243" s="50" t="n">
        <v>532</v>
      </c>
      <c r="N243" s="50" t="n">
        <v>8860</v>
      </c>
    </row>
    <row r="244">
      <c r="A244" s="47" t="n">
        <v>15</v>
      </c>
      <c r="B244" s="47" t="inlineStr">
        <is>
          <t>XV</t>
        </is>
      </c>
      <c r="C244" s="48" t="inlineStr">
        <is>
          <t>Sholinganallur</t>
        </is>
      </c>
      <c r="D244" s="47" t="n">
        <v>2030</v>
      </c>
      <c r="E244" s="49" t="inlineStr">
        <is>
          <t>Hybrid ML Forecast</t>
        </is>
      </c>
      <c r="F244" s="50" t="n">
        <v>177784.84</v>
      </c>
      <c r="G244" s="50" t="n">
        <v>9026171.15294118</v>
      </c>
      <c r="H244" s="51" t="n">
        <v>9.026171152941181</v>
      </c>
      <c r="I244" s="52" t="n">
        <v>0</v>
      </c>
      <c r="J244" s="48" t="inlineStr">
        <is>
          <t>Observed GHSL epoch</t>
        </is>
      </c>
      <c r="K244" s="51" t="n">
        <v>24.0009534</v>
      </c>
      <c r="L244" s="51" t="n">
        <v>622.24694</v>
      </c>
      <c r="M244" s="50" t="n">
        <v>533</v>
      </c>
      <c r="N244" s="50" t="n">
        <v>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3" customWidth="1" min="10" max="10"/>
    <col width="39" customWidth="1" min="11" max="11"/>
    <col width="27" customWidth="1" min="12" max="12"/>
    <col width="33" customWidth="1" min="13" max="13"/>
    <col width="33" customWidth="1" min="14" max="14"/>
  </cols>
  <sheetData>
    <row r="1">
      <c r="A1" s="1" t="inlineStr">
        <is>
          <t>POST-PREDICTION ANNUAL TRAJECTORY (2027–2030 FORECAST HORIZON)</t>
        </is>
      </c>
    </row>
    <row r="2">
      <c r="A2" s="2" t="inlineStr">
        <is>
          <t>Detailed Annual Population Forecasts Produced by Hybrid Machine Learning Pipeline</t>
        </is>
      </c>
    </row>
    <row r="3"/>
    <row r="4" ht="26" customHeight="1">
      <c r="A4" s="53" t="inlineStr">
        <is>
          <t>Zone ID</t>
        </is>
      </c>
      <c r="B4" s="53" t="inlineStr">
        <is>
          <t>Zone Code</t>
        </is>
      </c>
      <c r="C4" s="53" t="inlineStr">
        <is>
          <t>Zone Name</t>
        </is>
      </c>
      <c r="D4" s="53" t="inlineStr">
        <is>
          <t>2026 Baseline</t>
        </is>
      </c>
      <c r="E4" s="53" t="inlineStr">
        <is>
          <t>2027 Forecast</t>
        </is>
      </c>
      <c r="F4" s="53" t="inlineStr">
        <is>
          <t>2028 Forecast</t>
        </is>
      </c>
      <c r="G4" s="53" t="inlineStr">
        <is>
          <t>2029 Forecast</t>
        </is>
      </c>
      <c r="H4" s="53" t="inlineStr">
        <is>
          <t>2030 Forecast</t>
        </is>
      </c>
      <c r="I4" s="53" t="inlineStr">
        <is>
          <t>4-Year Net Increase</t>
        </is>
      </c>
      <c r="J4" s="53" t="inlineStr">
        <is>
          <t>Total Growth (%)</t>
        </is>
      </c>
      <c r="K4" s="53" t="inlineStr">
        <is>
          <t>Compound Annual Growth Rate (CAGR %)</t>
        </is>
      </c>
      <c r="L4" s="53" t="inlineStr">
        <is>
          <t>2030 Built-Up Area (km²)</t>
        </is>
      </c>
      <c r="M4" s="53" t="inlineStr">
        <is>
          <t>Annual Water Addition (MLD/yr)</t>
        </is>
      </c>
      <c r="N4" s="53" t="inlineStr">
        <is>
          <t>Annual Power Addition (MWh/yr)</t>
        </is>
      </c>
    </row>
    <row r="5">
      <c r="A5" s="14" t="n">
        <v>1</v>
      </c>
      <c r="B5" s="14" t="inlineStr">
        <is>
          <t>I</t>
        </is>
      </c>
      <c r="C5" s="5" t="inlineStr">
        <is>
          <t>Thiruvottiyur</t>
        </is>
      </c>
      <c r="D5" s="15" t="n">
        <v>355933.9</v>
      </c>
      <c r="E5" s="15" t="n">
        <v>357145.34</v>
      </c>
      <c r="F5" s="15" t="n">
        <v>358367.37</v>
      </c>
      <c r="G5" s="15" t="n">
        <v>359547.71</v>
      </c>
      <c r="H5" s="16" t="n">
        <v>360710.59</v>
      </c>
      <c r="I5" s="16" t="n">
        <v>4776.690000000002</v>
      </c>
      <c r="J5" s="17" t="n">
        <v>0.01342016031628345</v>
      </c>
      <c r="K5" s="17" t="n">
        <v>0.003338286609401386</v>
      </c>
      <c r="L5" s="18" t="n">
        <v>5.995833356862745</v>
      </c>
      <c r="M5" s="18" t="n">
        <v>0.1612132875000001</v>
      </c>
      <c r="N5" s="18" t="n">
        <v>4.179603750000002</v>
      </c>
    </row>
    <row r="6">
      <c r="A6" s="22" t="n">
        <v>2</v>
      </c>
      <c r="B6" s="22" t="inlineStr">
        <is>
          <t>II</t>
        </is>
      </c>
      <c r="C6" s="23" t="inlineStr">
        <is>
          <t>Manali</t>
        </is>
      </c>
      <c r="D6" s="24" t="n">
        <v>134343.55</v>
      </c>
      <c r="E6" s="24" t="n">
        <v>134829.98</v>
      </c>
      <c r="F6" s="24" t="n">
        <v>135319.64</v>
      </c>
      <c r="G6" s="24" t="n">
        <v>135793.91</v>
      </c>
      <c r="H6" s="25" t="n">
        <v>136260.59</v>
      </c>
      <c r="I6" s="25" t="n">
        <v>1917.040000000008</v>
      </c>
      <c r="J6" s="26" t="n">
        <v>0.01426968395579846</v>
      </c>
      <c r="K6" s="26" t="n">
        <v>0.003548488610426448</v>
      </c>
      <c r="L6" s="27" t="n">
        <v>4.856288066666668</v>
      </c>
      <c r="M6" s="27" t="n">
        <v>0.06470010000000027</v>
      </c>
      <c r="N6" s="27" t="n">
        <v>1.677410000000007</v>
      </c>
    </row>
    <row r="7">
      <c r="A7" s="14" t="n">
        <v>3</v>
      </c>
      <c r="B7" s="14" t="inlineStr">
        <is>
          <t>III</t>
        </is>
      </c>
      <c r="C7" s="5" t="inlineStr">
        <is>
          <t>Madhavaram</t>
        </is>
      </c>
      <c r="D7" s="15" t="n">
        <v>247316.23</v>
      </c>
      <c r="E7" s="15" t="n">
        <v>248209.43</v>
      </c>
      <c r="F7" s="15" t="n">
        <v>249099.67</v>
      </c>
      <c r="G7" s="15" t="n">
        <v>249956.88</v>
      </c>
      <c r="H7" s="16" t="n">
        <v>250794.32</v>
      </c>
      <c r="I7" s="16" t="n">
        <v>3478.089999999997</v>
      </c>
      <c r="J7" s="17" t="n">
        <v>0.0140633309831708</v>
      </c>
      <c r="K7" s="17" t="n">
        <v>0.00349744177883804</v>
      </c>
      <c r="L7" s="18" t="n">
        <v>8.097031360784316</v>
      </c>
      <c r="M7" s="18" t="n">
        <v>0.1173855374999999</v>
      </c>
      <c r="N7" s="18" t="n">
        <v>3.043328749999997</v>
      </c>
    </row>
    <row r="8">
      <c r="A8" s="22" t="n">
        <v>4</v>
      </c>
      <c r="B8" s="22" t="inlineStr">
        <is>
          <t>IV</t>
        </is>
      </c>
      <c r="C8" s="23" t="inlineStr">
        <is>
          <t>Tondiarpet</t>
        </is>
      </c>
      <c r="D8" s="24" t="n">
        <v>884147.49</v>
      </c>
      <c r="E8" s="24" t="n">
        <v>887273.09</v>
      </c>
      <c r="F8" s="24" t="n">
        <v>890423.23</v>
      </c>
      <c r="G8" s="24" t="n">
        <v>893424.91</v>
      </c>
      <c r="H8" s="25" t="n">
        <v>896391.49</v>
      </c>
      <c r="I8" s="25" t="n">
        <v>12244</v>
      </c>
      <c r="J8" s="26" t="n">
        <v>0.01384836821738871</v>
      </c>
      <c r="K8" s="26" t="n">
        <v>0.003444256802887624</v>
      </c>
      <c r="L8" s="27" t="n">
        <v>7.092216647058823</v>
      </c>
      <c r="M8" s="27" t="n">
        <v>0.413235</v>
      </c>
      <c r="N8" s="27" t="n">
        <v>10.7135</v>
      </c>
    </row>
    <row r="9">
      <c r="A9" s="14" t="n">
        <v>5</v>
      </c>
      <c r="B9" s="14" t="inlineStr">
        <is>
          <t>V</t>
        </is>
      </c>
      <c r="C9" s="5" t="inlineStr">
        <is>
          <t>Royapuram</t>
        </is>
      </c>
      <c r="D9" s="15" t="n">
        <v>758394.16</v>
      </c>
      <c r="E9" s="15" t="n">
        <v>760863.47</v>
      </c>
      <c r="F9" s="15" t="n">
        <v>763342.47</v>
      </c>
      <c r="G9" s="15" t="n">
        <v>765697.99</v>
      </c>
      <c r="H9" s="16" t="n">
        <v>768030.5</v>
      </c>
      <c r="I9" s="16" t="n">
        <v>9636.339999999967</v>
      </c>
      <c r="J9" s="17" t="n">
        <v>0.01270624235819533</v>
      </c>
      <c r="K9" s="17" t="n">
        <v>0.003161535999228748</v>
      </c>
      <c r="L9" s="18" t="n">
        <v>7.304762231372548</v>
      </c>
      <c r="M9" s="18" t="n">
        <v>0.3252264749999989</v>
      </c>
      <c r="N9" s="18" t="n">
        <v>8.431797499999972</v>
      </c>
    </row>
    <row r="10">
      <c r="A10" s="22" t="n">
        <v>6</v>
      </c>
      <c r="B10" s="22" t="inlineStr">
        <is>
          <t>VI</t>
        </is>
      </c>
      <c r="C10" s="23" t="inlineStr">
        <is>
          <t>Thiru-Vi-Ka-Nagar</t>
        </is>
      </c>
      <c r="D10" s="24" t="n">
        <v>792183.72</v>
      </c>
      <c r="E10" s="24" t="n">
        <v>794909.04</v>
      </c>
      <c r="F10" s="24" t="n">
        <v>797642.59</v>
      </c>
      <c r="G10" s="24" t="n">
        <v>800240.4399999999</v>
      </c>
      <c r="H10" s="25" t="n">
        <v>802802.98</v>
      </c>
      <c r="I10" s="25" t="n">
        <v>10619.26000000001</v>
      </c>
      <c r="J10" s="26" t="n">
        <v>0.0134050470009659</v>
      </c>
      <c r="K10" s="26" t="n">
        <v>0.003334545847846426</v>
      </c>
      <c r="L10" s="27" t="n">
        <v>7.169478043137257</v>
      </c>
      <c r="M10" s="27" t="n">
        <v>0.3584000250000003</v>
      </c>
      <c r="N10" s="27" t="n">
        <v>9.291852500000008</v>
      </c>
    </row>
    <row r="11">
      <c r="A11" s="14" t="n">
        <v>7</v>
      </c>
      <c r="B11" s="14" t="inlineStr">
        <is>
          <t>VII</t>
        </is>
      </c>
      <c r="C11" s="5" t="inlineStr">
        <is>
          <t>Ambattur</t>
        </is>
      </c>
      <c r="D11" s="15" t="n">
        <v>739582.16</v>
      </c>
      <c r="E11" s="15" t="n">
        <v>742221.14</v>
      </c>
      <c r="F11" s="15" t="n">
        <v>744845.14</v>
      </c>
      <c r="G11" s="15" t="n">
        <v>747365.71</v>
      </c>
      <c r="H11" s="16" t="n">
        <v>749844.89</v>
      </c>
      <c r="I11" s="16" t="n">
        <v>10262.72999999998</v>
      </c>
      <c r="J11" s="17" t="n">
        <v>0.01387638933854216</v>
      </c>
      <c r="K11" s="17" t="n">
        <v>0.003451190123134218</v>
      </c>
      <c r="L11" s="18" t="n">
        <v>12.8467054862745</v>
      </c>
      <c r="M11" s="18" t="n">
        <v>0.3463671374999994</v>
      </c>
      <c r="N11" s="18" t="n">
        <v>8.979888749999983</v>
      </c>
    </row>
    <row r="12">
      <c r="A12" s="22" t="n">
        <v>8</v>
      </c>
      <c r="B12" s="22" t="inlineStr">
        <is>
          <t>VIII</t>
        </is>
      </c>
      <c r="C12" s="23" t="inlineStr">
        <is>
          <t>Annanagar</t>
        </is>
      </c>
      <c r="D12" s="24" t="n">
        <v>814702.6899999999</v>
      </c>
      <c r="E12" s="24" t="n">
        <v>817431.8</v>
      </c>
      <c r="F12" s="24" t="n">
        <v>820170.96</v>
      </c>
      <c r="G12" s="24" t="n">
        <v>822790.72</v>
      </c>
      <c r="H12" s="25" t="n">
        <v>825373.96</v>
      </c>
      <c r="I12" s="25" t="n">
        <v>10671.27000000002</v>
      </c>
      <c r="J12" s="26" t="n">
        <v>0.01309836107206178</v>
      </c>
      <c r="K12" s="26" t="n">
        <v>0.003258627656282709</v>
      </c>
      <c r="L12" s="27" t="n">
        <v>9.747646125490196</v>
      </c>
      <c r="M12" s="27" t="n">
        <v>0.3601553625000006</v>
      </c>
      <c r="N12" s="27" t="n">
        <v>9.337361250000017</v>
      </c>
    </row>
    <row r="13">
      <c r="A13" s="14" t="n">
        <v>9</v>
      </c>
      <c r="B13" s="14" t="inlineStr">
        <is>
          <t>IX</t>
        </is>
      </c>
      <c r="C13" s="5" t="inlineStr">
        <is>
          <t>Teynampet</t>
        </is>
      </c>
      <c r="D13" s="15" t="n">
        <v>767823.5</v>
      </c>
      <c r="E13" s="15" t="n">
        <v>770350.11</v>
      </c>
      <c r="F13" s="15" t="n">
        <v>772880.74</v>
      </c>
      <c r="G13" s="15" t="n">
        <v>775288.48</v>
      </c>
      <c r="H13" s="16" t="n">
        <v>777654.21</v>
      </c>
      <c r="I13" s="16" t="n">
        <v>9830.709999999963</v>
      </c>
      <c r="J13" s="17" t="n">
        <v>0.01280334608148873</v>
      </c>
      <c r="K13" s="17" t="n">
        <v>0.003185582265987197</v>
      </c>
      <c r="L13" s="18" t="n">
        <v>9.826188121568631</v>
      </c>
      <c r="M13" s="18" t="n">
        <v>0.3317864624999988</v>
      </c>
      <c r="N13" s="18" t="n">
        <v>8.601871249999967</v>
      </c>
    </row>
    <row r="14">
      <c r="A14" s="22" t="n">
        <v>10</v>
      </c>
      <c r="B14" s="22" t="inlineStr">
        <is>
          <t>X</t>
        </is>
      </c>
      <c r="C14" s="23" t="inlineStr">
        <is>
          <t>Kodambakkam</t>
        </is>
      </c>
      <c r="D14" s="24" t="n">
        <v>895182.09</v>
      </c>
      <c r="E14" s="24" t="n">
        <v>898170.45</v>
      </c>
      <c r="F14" s="24" t="n">
        <v>901173.25</v>
      </c>
      <c r="G14" s="24" t="n">
        <v>904027.46</v>
      </c>
      <c r="H14" s="25" t="n">
        <v>906829.46</v>
      </c>
      <c r="I14" s="25" t="n">
        <v>11647.37</v>
      </c>
      <c r="J14" s="26" t="n">
        <v>0.01301117407297547</v>
      </c>
      <c r="K14" s="26" t="n">
        <v>0.003237041911142269</v>
      </c>
      <c r="L14" s="27" t="n">
        <v>9.824735278431376</v>
      </c>
      <c r="M14" s="27" t="n">
        <v>0.3930987374999998</v>
      </c>
      <c r="N14" s="27" t="n">
        <v>10.19144875</v>
      </c>
    </row>
    <row r="15">
      <c r="A15" s="14" t="n">
        <v>11</v>
      </c>
      <c r="B15" s="14" t="inlineStr">
        <is>
          <t>XI</t>
        </is>
      </c>
      <c r="C15" s="5" t="inlineStr">
        <is>
          <t>Valasaravakkam</t>
        </is>
      </c>
      <c r="D15" s="15" t="n">
        <v>381915.68</v>
      </c>
      <c r="E15" s="15" t="n">
        <v>383212.29</v>
      </c>
      <c r="F15" s="15" t="n">
        <v>384506.66</v>
      </c>
      <c r="G15" s="15" t="n">
        <v>385750.65</v>
      </c>
      <c r="H15" s="16" t="n">
        <v>386974.21</v>
      </c>
      <c r="I15" s="16" t="n">
        <v>5058.530000000028</v>
      </c>
      <c r="J15" s="17" t="n">
        <v>0.013245148772106</v>
      </c>
      <c r="K15" s="17" t="n">
        <v>0.003294966187497694</v>
      </c>
      <c r="L15" s="18" t="n">
        <v>8.506802721568622</v>
      </c>
      <c r="M15" s="18" t="n">
        <v>0.1707253875000009</v>
      </c>
      <c r="N15" s="18" t="n">
        <v>4.426213750000024</v>
      </c>
    </row>
    <row r="16">
      <c r="A16" s="22" t="n">
        <v>12</v>
      </c>
      <c r="B16" s="22" t="inlineStr">
        <is>
          <t>XII</t>
        </is>
      </c>
      <c r="C16" s="23" t="inlineStr">
        <is>
          <t>Alandur</t>
        </is>
      </c>
      <c r="D16" s="24" t="n">
        <v>270760.14</v>
      </c>
      <c r="E16" s="24" t="n">
        <v>271684.99</v>
      </c>
      <c r="F16" s="24" t="n">
        <v>272611.01</v>
      </c>
      <c r="G16" s="24" t="n">
        <v>273504.76</v>
      </c>
      <c r="H16" s="25" t="n">
        <v>274378.1</v>
      </c>
      <c r="I16" s="25" t="n">
        <v>3617.959999999963</v>
      </c>
      <c r="J16" s="26" t="n">
        <v>0.01336223271268793</v>
      </c>
      <c r="K16" s="26" t="n">
        <v>0.003323948472394811</v>
      </c>
      <c r="L16" s="27" t="n">
        <v>5.628084035294115</v>
      </c>
      <c r="M16" s="27" t="n">
        <v>0.1221061499999987</v>
      </c>
      <c r="N16" s="27" t="n">
        <v>3.165714999999967</v>
      </c>
    </row>
    <row r="17">
      <c r="A17" s="14" t="n">
        <v>13</v>
      </c>
      <c r="B17" s="14" t="inlineStr">
        <is>
          <t>XIII</t>
        </is>
      </c>
      <c r="C17" s="5" t="inlineStr">
        <is>
          <t>Adyar</t>
        </is>
      </c>
      <c r="D17" s="15" t="n">
        <v>678659.61</v>
      </c>
      <c r="E17" s="15" t="n">
        <v>680965.4399999999</v>
      </c>
      <c r="F17" s="15" t="n">
        <v>683273.7</v>
      </c>
      <c r="G17" s="15" t="n">
        <v>685479.14</v>
      </c>
      <c r="H17" s="16" t="n">
        <v>687635.89</v>
      </c>
      <c r="I17" s="16" t="n">
        <v>8976.280000000028</v>
      </c>
      <c r="J17" s="17" t="n">
        <v>0.01322648330287407</v>
      </c>
      <c r="K17" s="17" t="n">
        <v>0.003290345612528167</v>
      </c>
      <c r="L17" s="18" t="n">
        <v>11.33697131764706</v>
      </c>
      <c r="M17" s="18" t="n">
        <v>0.302949450000001</v>
      </c>
      <c r="N17" s="18" t="n">
        <v>7.854245000000025</v>
      </c>
    </row>
    <row r="18">
      <c r="A18" s="22" t="n">
        <v>14</v>
      </c>
      <c r="B18" s="22" t="inlineStr">
        <is>
          <t>XIV</t>
        </is>
      </c>
      <c r="C18" s="23" t="inlineStr">
        <is>
          <t>Perungudi</t>
        </is>
      </c>
      <c r="D18" s="24" t="n">
        <v>461512.4</v>
      </c>
      <c r="E18" s="24" t="n">
        <v>463195.55</v>
      </c>
      <c r="F18" s="24" t="n">
        <v>464881.86</v>
      </c>
      <c r="G18" s="24" t="n">
        <v>466495.11</v>
      </c>
      <c r="H18" s="25" t="n">
        <v>468084.38</v>
      </c>
      <c r="I18" s="25" t="n">
        <v>6571.979999999981</v>
      </c>
      <c r="J18" s="26" t="n">
        <v>0.01424009409064628</v>
      </c>
      <c r="K18" s="26" t="n">
        <v>0.003541169257942789</v>
      </c>
      <c r="L18" s="27" t="n">
        <v>9.782983862745096</v>
      </c>
      <c r="M18" s="27" t="n">
        <v>0.2218043249999994</v>
      </c>
      <c r="N18" s="27" t="n">
        <v>5.750482499999984</v>
      </c>
    </row>
    <row r="19">
      <c r="A19" s="14" t="n">
        <v>15</v>
      </c>
      <c r="B19" s="14" t="inlineStr">
        <is>
          <t>XV</t>
        </is>
      </c>
      <c r="C19" s="5" t="inlineStr">
        <is>
          <t>Sholinganallur</t>
        </is>
      </c>
      <c r="D19" s="15" t="n">
        <v>175326.87</v>
      </c>
      <c r="E19" s="15" t="n">
        <v>175956.86</v>
      </c>
      <c r="F19" s="15" t="n">
        <v>176585.66</v>
      </c>
      <c r="G19" s="15" t="n">
        <v>177191.12</v>
      </c>
      <c r="H19" s="16" t="n">
        <v>177784.84</v>
      </c>
      <c r="I19" s="16" t="n">
        <v>2457.970000000001</v>
      </c>
      <c r="J19" s="17" t="n">
        <v>0.01401935710139582</v>
      </c>
      <c r="K19" s="17" t="n">
        <v>0.003486562676389804</v>
      </c>
      <c r="L19" s="18" t="n">
        <v>9.026171152941181</v>
      </c>
      <c r="M19" s="18" t="n">
        <v>0.08295648750000005</v>
      </c>
      <c r="N19" s="18" t="n">
        <v>2.150723750000001</v>
      </c>
    </row>
    <row r="20">
      <c r="A20" s="33" t="inlineStr">
        <is>
          <t>TOTAL</t>
        </is>
      </c>
      <c r="B20" s="33" t="inlineStr">
        <is>
          <t>-</t>
        </is>
      </c>
      <c r="C20" s="33" t="inlineStr">
        <is>
          <t>GCC Total</t>
        </is>
      </c>
      <c r="D20" s="34">
        <f>SUM(D5:D19)</f>
        <v/>
      </c>
      <c r="E20" s="34">
        <f>SUM(E5:E19)</f>
        <v/>
      </c>
      <c r="F20" s="34">
        <f>SUM(F5:F19)</f>
        <v/>
      </c>
      <c r="G20" s="34">
        <f>SUM(G5:G19)</f>
        <v/>
      </c>
      <c r="H20" s="34">
        <f>SUM(H5:H19)</f>
        <v/>
      </c>
      <c r="I20" s="34">
        <f>SUM(I5:I19)</f>
        <v/>
      </c>
      <c r="J20" s="35">
        <f>AVERAGE(J5:J19)</f>
        <v/>
      </c>
      <c r="K20" s="35">
        <f>AVERAGE(K5:K19)</f>
        <v/>
      </c>
      <c r="L20" s="36">
        <f>SUM(L5:L19)</f>
        <v/>
      </c>
      <c r="M20" s="36">
        <f>SUM(M5:M19)</f>
        <v/>
      </c>
      <c r="N20" s="36">
        <f>SUM(N5:N19)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20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15" customWidth="1" min="12" max="12"/>
    <col width="20" customWidth="1" min="13" max="13"/>
    <col width="20" customWidth="1" min="14" max="14"/>
    <col width="16" customWidth="1" min="15" max="15"/>
  </cols>
  <sheetData>
    <row r="1">
      <c r="A1" s="1" t="inlineStr">
        <is>
          <t>CIVIC INFRASTRUCTURE DEMANDS &amp; ALLOCATION REQUIREMENTS (2026 vs 2030)</t>
        </is>
      </c>
    </row>
    <row r="2">
      <c r="A2" s="2" t="inlineStr">
        <is>
          <t>Comparative Infrastructure Sizing: Water, Power, Healthcare Beds, and School Classrooms</t>
        </is>
      </c>
    </row>
    <row r="3"/>
    <row r="4" ht="26" customHeight="1">
      <c r="A4" s="54" t="inlineStr">
        <is>
          <t>Zone ID</t>
        </is>
      </c>
      <c r="B4" s="54" t="inlineStr">
        <is>
          <t>Zone Code</t>
        </is>
      </c>
      <c r="C4" s="54" t="inlineStr">
        <is>
          <t>Zone Name</t>
        </is>
      </c>
      <c r="D4" s="54" t="inlineStr">
        <is>
          <t>2026 Water (MLD)</t>
        </is>
      </c>
      <c r="E4" s="54" t="inlineStr">
        <is>
          <t>2030 Water (MLD)</t>
        </is>
      </c>
      <c r="F4" s="54" t="inlineStr">
        <is>
          <t>Net Water Add (MLD)</t>
        </is>
      </c>
      <c r="G4" s="54" t="inlineStr">
        <is>
          <t>2026 Power (MWh)</t>
        </is>
      </c>
      <c r="H4" s="54" t="inlineStr">
        <is>
          <t>2030 Power (MWh)</t>
        </is>
      </c>
      <c r="I4" s="54" t="inlineStr">
        <is>
          <t>Net Power Add (MWh)</t>
        </is>
      </c>
      <c r="J4" s="54" t="inlineStr">
        <is>
          <t>2026 Beds (Count)</t>
        </is>
      </c>
      <c r="K4" s="54" t="inlineStr">
        <is>
          <t>2030 Beds (Count)</t>
        </is>
      </c>
      <c r="L4" s="54" t="inlineStr">
        <is>
          <t>Net New Beds</t>
        </is>
      </c>
      <c r="M4" s="54" t="inlineStr">
        <is>
          <t>2026 School Seats</t>
        </is>
      </c>
      <c r="N4" s="54" t="inlineStr">
        <is>
          <t>2030 School Seats</t>
        </is>
      </c>
      <c r="O4" s="54" t="inlineStr">
        <is>
          <t>Net New Seats</t>
        </is>
      </c>
    </row>
    <row r="5">
      <c r="A5" s="14" t="n">
        <v>1</v>
      </c>
      <c r="B5" s="14" t="inlineStr">
        <is>
          <t>I</t>
        </is>
      </c>
      <c r="C5" s="5" t="inlineStr">
        <is>
          <t>Thiruvottiyur</t>
        </is>
      </c>
      <c r="D5" s="18" t="n">
        <v>48.0510765</v>
      </c>
      <c r="E5" s="18" t="n">
        <v>48.69592965</v>
      </c>
      <c r="F5" s="18" t="n">
        <v>0.644853150000003</v>
      </c>
      <c r="G5" s="18" t="n">
        <v>1245.76865</v>
      </c>
      <c r="H5" s="18" t="n">
        <v>1262.487065</v>
      </c>
      <c r="I5" s="18" t="n">
        <v>16.71841500000005</v>
      </c>
      <c r="J5" s="15" t="n">
        <v>1068</v>
      </c>
      <c r="K5" s="15" t="n">
        <v>1082</v>
      </c>
      <c r="L5" s="15" t="n">
        <v>14</v>
      </c>
      <c r="M5" s="15" t="n">
        <v>17797</v>
      </c>
      <c r="N5" s="15" t="n">
        <v>18036</v>
      </c>
      <c r="O5" s="15" t="n">
        <v>239</v>
      </c>
    </row>
    <row r="6">
      <c r="A6" s="22" t="n">
        <v>2</v>
      </c>
      <c r="B6" s="22" t="inlineStr">
        <is>
          <t>II</t>
        </is>
      </c>
      <c r="C6" s="23" t="inlineStr">
        <is>
          <t>Manali</t>
        </is>
      </c>
      <c r="D6" s="27" t="n">
        <v>18.13637925</v>
      </c>
      <c r="E6" s="27" t="n">
        <v>18.39517965</v>
      </c>
      <c r="F6" s="27" t="n">
        <v>0.2588003999999984</v>
      </c>
      <c r="G6" s="27" t="n">
        <v>470.2024249999999</v>
      </c>
      <c r="H6" s="27" t="n">
        <v>476.912065</v>
      </c>
      <c r="I6" s="27" t="n">
        <v>6.709640000000036</v>
      </c>
      <c r="J6" s="24" t="n">
        <v>403</v>
      </c>
      <c r="K6" s="24" t="n">
        <v>409</v>
      </c>
      <c r="L6" s="24" t="n">
        <v>6</v>
      </c>
      <c r="M6" s="24" t="n">
        <v>6717</v>
      </c>
      <c r="N6" s="24" t="n">
        <v>6813</v>
      </c>
      <c r="O6" s="24" t="n">
        <v>96</v>
      </c>
    </row>
    <row r="7">
      <c r="A7" s="14" t="n">
        <v>3</v>
      </c>
      <c r="B7" s="14" t="inlineStr">
        <is>
          <t>III</t>
        </is>
      </c>
      <c r="C7" s="5" t="inlineStr">
        <is>
          <t>Madhavaram</t>
        </is>
      </c>
      <c r="D7" s="18" t="n">
        <v>33.38769105</v>
      </c>
      <c r="E7" s="18" t="n">
        <v>33.8572332</v>
      </c>
      <c r="F7" s="18" t="n">
        <v>0.4695421500000023</v>
      </c>
      <c r="G7" s="18" t="n">
        <v>865.606805</v>
      </c>
      <c r="H7" s="18" t="n">
        <v>877.78012</v>
      </c>
      <c r="I7" s="18" t="n">
        <v>12.173315</v>
      </c>
      <c r="J7" s="15" t="n">
        <v>742</v>
      </c>
      <c r="K7" s="15" t="n">
        <v>752</v>
      </c>
      <c r="L7" s="15" t="n">
        <v>10</v>
      </c>
      <c r="M7" s="15" t="n">
        <v>12366</v>
      </c>
      <c r="N7" s="15" t="n">
        <v>12540</v>
      </c>
      <c r="O7" s="15" t="n">
        <v>174</v>
      </c>
    </row>
    <row r="8">
      <c r="A8" s="22" t="n">
        <v>4</v>
      </c>
      <c r="B8" s="22" t="inlineStr">
        <is>
          <t>IV</t>
        </is>
      </c>
      <c r="C8" s="23" t="inlineStr">
        <is>
          <t>Tondiarpet</t>
        </is>
      </c>
      <c r="D8" s="27" t="n">
        <v>119.35991115</v>
      </c>
      <c r="E8" s="27" t="n">
        <v>121.01285115</v>
      </c>
      <c r="F8" s="27" t="n">
        <v>1.652940000000001</v>
      </c>
      <c r="G8" s="27" t="n">
        <v>3094.516215</v>
      </c>
      <c r="H8" s="27" t="n">
        <v>3137.370215</v>
      </c>
      <c r="I8" s="27" t="n">
        <v>42.85400000000027</v>
      </c>
      <c r="J8" s="24" t="n">
        <v>2652</v>
      </c>
      <c r="K8" s="24" t="n">
        <v>2689</v>
      </c>
      <c r="L8" s="24" t="n">
        <v>37</v>
      </c>
      <c r="M8" s="24" t="n">
        <v>44207</v>
      </c>
      <c r="N8" s="24" t="n">
        <v>44820</v>
      </c>
      <c r="O8" s="24" t="n">
        <v>613</v>
      </c>
    </row>
    <row r="9">
      <c r="A9" s="14" t="n">
        <v>5</v>
      </c>
      <c r="B9" s="14" t="inlineStr">
        <is>
          <t>V</t>
        </is>
      </c>
      <c r="C9" s="5" t="inlineStr">
        <is>
          <t>Royapuram</t>
        </is>
      </c>
      <c r="D9" s="18" t="n">
        <v>102.3832116</v>
      </c>
      <c r="E9" s="18" t="n">
        <v>103.6841175</v>
      </c>
      <c r="F9" s="18" t="n">
        <v>1.300905899999989</v>
      </c>
      <c r="G9" s="18" t="n">
        <v>2654.37956</v>
      </c>
      <c r="H9" s="18" t="n">
        <v>2688.10675</v>
      </c>
      <c r="I9" s="18" t="n">
        <v>33.72719000000006</v>
      </c>
      <c r="J9" s="15" t="n">
        <v>2275</v>
      </c>
      <c r="K9" s="15" t="n">
        <v>2304</v>
      </c>
      <c r="L9" s="15" t="n">
        <v>29</v>
      </c>
      <c r="M9" s="15" t="n">
        <v>37920</v>
      </c>
      <c r="N9" s="15" t="n">
        <v>38402</v>
      </c>
      <c r="O9" s="15" t="n">
        <v>482</v>
      </c>
    </row>
    <row r="10">
      <c r="A10" s="22" t="n">
        <v>6</v>
      </c>
      <c r="B10" s="22" t="inlineStr">
        <is>
          <t>VI</t>
        </is>
      </c>
      <c r="C10" s="23" t="inlineStr">
        <is>
          <t>Thiru-Vi-Ka-Nagar</t>
        </is>
      </c>
      <c r="D10" s="27" t="n">
        <v>106.9448022</v>
      </c>
      <c r="E10" s="27" t="n">
        <v>108.3784023</v>
      </c>
      <c r="F10" s="27" t="n">
        <v>1.433600099999992</v>
      </c>
      <c r="G10" s="27" t="n">
        <v>2772.64302</v>
      </c>
      <c r="H10" s="27" t="n">
        <v>2809.81043</v>
      </c>
      <c r="I10" s="27" t="n">
        <v>37.16740999999956</v>
      </c>
      <c r="J10" s="24" t="n">
        <v>2377</v>
      </c>
      <c r="K10" s="24" t="n">
        <v>2408</v>
      </c>
      <c r="L10" s="24" t="n">
        <v>31</v>
      </c>
      <c r="M10" s="24" t="n">
        <v>39609</v>
      </c>
      <c r="N10" s="24" t="n">
        <v>40140</v>
      </c>
      <c r="O10" s="24" t="n">
        <v>531</v>
      </c>
    </row>
    <row r="11">
      <c r="A11" s="14" t="n">
        <v>7</v>
      </c>
      <c r="B11" s="14" t="inlineStr">
        <is>
          <t>VII</t>
        </is>
      </c>
      <c r="C11" s="5" t="inlineStr">
        <is>
          <t>Ambattur</t>
        </is>
      </c>
      <c r="D11" s="18" t="n">
        <v>99.84359160000001</v>
      </c>
      <c r="E11" s="18" t="n">
        <v>101.22906015</v>
      </c>
      <c r="F11" s="18" t="n">
        <v>1.385468549999999</v>
      </c>
      <c r="G11" s="18" t="n">
        <v>2588.53756</v>
      </c>
      <c r="H11" s="18" t="n">
        <v>2624.457115</v>
      </c>
      <c r="I11" s="18" t="n">
        <v>35.91955499999995</v>
      </c>
      <c r="J11" s="15" t="n">
        <v>2219</v>
      </c>
      <c r="K11" s="15" t="n">
        <v>2250</v>
      </c>
      <c r="L11" s="15" t="n">
        <v>31</v>
      </c>
      <c r="M11" s="15" t="n">
        <v>36979</v>
      </c>
      <c r="N11" s="15" t="n">
        <v>37492</v>
      </c>
      <c r="O11" s="15" t="n">
        <v>513</v>
      </c>
    </row>
    <row r="12">
      <c r="A12" s="22" t="n">
        <v>8</v>
      </c>
      <c r="B12" s="22" t="inlineStr">
        <is>
          <t>VIII</t>
        </is>
      </c>
      <c r="C12" s="23" t="inlineStr">
        <is>
          <t>Annanagar</t>
        </is>
      </c>
      <c r="D12" s="27" t="n">
        <v>109.98486315</v>
      </c>
      <c r="E12" s="27" t="n">
        <v>111.4254846</v>
      </c>
      <c r="F12" s="27" t="n">
        <v>1.440621449999995</v>
      </c>
      <c r="G12" s="27" t="n">
        <v>2851.459415</v>
      </c>
      <c r="H12" s="27" t="n">
        <v>2888.80886</v>
      </c>
      <c r="I12" s="27" t="n">
        <v>37.34944499999983</v>
      </c>
      <c r="J12" s="24" t="n">
        <v>2444</v>
      </c>
      <c r="K12" s="24" t="n">
        <v>2476</v>
      </c>
      <c r="L12" s="24" t="n">
        <v>32</v>
      </c>
      <c r="M12" s="24" t="n">
        <v>40735</v>
      </c>
      <c r="N12" s="24" t="n">
        <v>41269</v>
      </c>
      <c r="O12" s="24" t="n">
        <v>534</v>
      </c>
    </row>
    <row r="13">
      <c r="A13" s="14" t="n">
        <v>9</v>
      </c>
      <c r="B13" s="14" t="inlineStr">
        <is>
          <t>IX</t>
        </is>
      </c>
      <c r="C13" s="5" t="inlineStr">
        <is>
          <t>Teynampet</t>
        </is>
      </c>
      <c r="D13" s="18" t="n">
        <v>103.6561725</v>
      </c>
      <c r="E13" s="18" t="n">
        <v>104.98331835</v>
      </c>
      <c r="F13" s="18" t="n">
        <v>1.327145849999994</v>
      </c>
      <c r="G13" s="18" t="n">
        <v>2687.38225</v>
      </c>
      <c r="H13" s="18" t="n">
        <v>2721.789735</v>
      </c>
      <c r="I13" s="18" t="n">
        <v>34.40748499999972</v>
      </c>
      <c r="J13" s="15" t="n">
        <v>2303</v>
      </c>
      <c r="K13" s="15" t="n">
        <v>2333</v>
      </c>
      <c r="L13" s="15" t="n">
        <v>30</v>
      </c>
      <c r="M13" s="15" t="n">
        <v>38391</v>
      </c>
      <c r="N13" s="15" t="n">
        <v>38883</v>
      </c>
      <c r="O13" s="15" t="n">
        <v>492</v>
      </c>
    </row>
    <row r="14">
      <c r="A14" s="22" t="n">
        <v>10</v>
      </c>
      <c r="B14" s="22" t="inlineStr">
        <is>
          <t>X</t>
        </is>
      </c>
      <c r="C14" s="23" t="inlineStr">
        <is>
          <t>Kodambakkam</t>
        </is>
      </c>
      <c r="D14" s="27" t="n">
        <v>120.84958215</v>
      </c>
      <c r="E14" s="27" t="n">
        <v>122.4219771</v>
      </c>
      <c r="F14" s="27" t="n">
        <v>1.572394950000003</v>
      </c>
      <c r="G14" s="27" t="n">
        <v>3133.137315</v>
      </c>
      <c r="H14" s="27" t="n">
        <v>3173.90311</v>
      </c>
      <c r="I14" s="27" t="n">
        <v>40.7657949999998</v>
      </c>
      <c r="J14" s="24" t="n">
        <v>2686</v>
      </c>
      <c r="K14" s="24" t="n">
        <v>2720</v>
      </c>
      <c r="L14" s="24" t="n">
        <v>34</v>
      </c>
      <c r="M14" s="24" t="n">
        <v>44759</v>
      </c>
      <c r="N14" s="24" t="n">
        <v>45341</v>
      </c>
      <c r="O14" s="24" t="n">
        <v>582</v>
      </c>
    </row>
    <row r="15">
      <c r="A15" s="14" t="n">
        <v>11</v>
      </c>
      <c r="B15" s="14" t="inlineStr">
        <is>
          <t>XI</t>
        </is>
      </c>
      <c r="C15" s="5" t="inlineStr">
        <is>
          <t>Valasaravakkam</t>
        </is>
      </c>
      <c r="D15" s="18" t="n">
        <v>51.5586168</v>
      </c>
      <c r="E15" s="18" t="n">
        <v>52.24151835</v>
      </c>
      <c r="F15" s="18" t="n">
        <v>0.682901550000004</v>
      </c>
      <c r="G15" s="18" t="n">
        <v>1336.70488</v>
      </c>
      <c r="H15" s="18" t="n">
        <v>1354.409735</v>
      </c>
      <c r="I15" s="18" t="n">
        <v>17.70485500000041</v>
      </c>
      <c r="J15" s="15" t="n">
        <v>1146</v>
      </c>
      <c r="K15" s="15" t="n">
        <v>1161</v>
      </c>
      <c r="L15" s="15" t="n">
        <v>15</v>
      </c>
      <c r="M15" s="15" t="n">
        <v>19096</v>
      </c>
      <c r="N15" s="15" t="n">
        <v>19349</v>
      </c>
      <c r="O15" s="15" t="n">
        <v>253</v>
      </c>
    </row>
    <row r="16">
      <c r="A16" s="22" t="n">
        <v>12</v>
      </c>
      <c r="B16" s="22" t="inlineStr">
        <is>
          <t>XII</t>
        </is>
      </c>
      <c r="C16" s="23" t="inlineStr">
        <is>
          <t>Alandur</t>
        </is>
      </c>
      <c r="D16" s="27" t="n">
        <v>36.5526189</v>
      </c>
      <c r="E16" s="27" t="n">
        <v>37.0410435</v>
      </c>
      <c r="F16" s="27" t="n">
        <v>0.4884246000000019</v>
      </c>
      <c r="G16" s="27" t="n">
        <v>947.66049</v>
      </c>
      <c r="H16" s="27" t="n">
        <v>960.3233499999999</v>
      </c>
      <c r="I16" s="27" t="n">
        <v>12.66285999999991</v>
      </c>
      <c r="J16" s="24" t="n">
        <v>812</v>
      </c>
      <c r="K16" s="24" t="n">
        <v>823</v>
      </c>
      <c r="L16" s="24" t="n">
        <v>11</v>
      </c>
      <c r="M16" s="24" t="n">
        <v>13538</v>
      </c>
      <c r="N16" s="24" t="n">
        <v>13719</v>
      </c>
      <c r="O16" s="24" t="n">
        <v>181</v>
      </c>
    </row>
    <row r="17">
      <c r="A17" s="14" t="n">
        <v>13</v>
      </c>
      <c r="B17" s="14" t="inlineStr">
        <is>
          <t>XIII</t>
        </is>
      </c>
      <c r="C17" s="5" t="inlineStr">
        <is>
          <t>Adyar</t>
        </is>
      </c>
      <c r="D17" s="18" t="n">
        <v>91.61904734999999</v>
      </c>
      <c r="E17" s="18" t="n">
        <v>92.83084515</v>
      </c>
      <c r="F17" s="18" t="n">
        <v>1.211797800000014</v>
      </c>
      <c r="G17" s="18" t="n">
        <v>2375.308635</v>
      </c>
      <c r="H17" s="18" t="n">
        <v>2406.725615</v>
      </c>
      <c r="I17" s="18" t="n">
        <v>31.41698000000042</v>
      </c>
      <c r="J17" s="15" t="n">
        <v>2036</v>
      </c>
      <c r="K17" s="15" t="n">
        <v>2063</v>
      </c>
      <c r="L17" s="15" t="n">
        <v>27</v>
      </c>
      <c r="M17" s="15" t="n">
        <v>33933</v>
      </c>
      <c r="N17" s="15" t="n">
        <v>34382</v>
      </c>
      <c r="O17" s="15" t="n">
        <v>449</v>
      </c>
    </row>
    <row r="18">
      <c r="A18" s="22" t="n">
        <v>14</v>
      </c>
      <c r="B18" s="22" t="inlineStr">
        <is>
          <t>XIV</t>
        </is>
      </c>
      <c r="C18" s="23" t="inlineStr">
        <is>
          <t>Perungudi</t>
        </is>
      </c>
      <c r="D18" s="27" t="n">
        <v>62.304174</v>
      </c>
      <c r="E18" s="27" t="n">
        <v>63.1913913</v>
      </c>
      <c r="F18" s="27" t="n">
        <v>0.8872172999999961</v>
      </c>
      <c r="G18" s="27" t="n">
        <v>1615.2934</v>
      </c>
      <c r="H18" s="27" t="n">
        <v>1638.29533</v>
      </c>
      <c r="I18" s="27" t="n">
        <v>23.0019299999999</v>
      </c>
      <c r="J18" s="24" t="n">
        <v>1385</v>
      </c>
      <c r="K18" s="24" t="n">
        <v>1404</v>
      </c>
      <c r="L18" s="24" t="n">
        <v>19</v>
      </c>
      <c r="M18" s="24" t="n">
        <v>23076</v>
      </c>
      <c r="N18" s="24" t="n">
        <v>23404</v>
      </c>
      <c r="O18" s="24" t="n">
        <v>328</v>
      </c>
    </row>
    <row r="19">
      <c r="A19" s="14" t="n">
        <v>15</v>
      </c>
      <c r="B19" s="14" t="inlineStr">
        <is>
          <t>XV</t>
        </is>
      </c>
      <c r="C19" s="5" t="inlineStr">
        <is>
          <t>Sholinganallur</t>
        </is>
      </c>
      <c r="D19" s="18" t="n">
        <v>23.66912745</v>
      </c>
      <c r="E19" s="18" t="n">
        <v>24.0009534</v>
      </c>
      <c r="F19" s="18" t="n">
        <v>0.3318259500000025</v>
      </c>
      <c r="G19" s="18" t="n">
        <v>613.6440449999999</v>
      </c>
      <c r="H19" s="18" t="n">
        <v>622.24694</v>
      </c>
      <c r="I19" s="18" t="n">
        <v>8.602895000000103</v>
      </c>
      <c r="J19" s="15" t="n">
        <v>526</v>
      </c>
      <c r="K19" s="15" t="n">
        <v>533</v>
      </c>
      <c r="L19" s="15" t="n">
        <v>7</v>
      </c>
      <c r="M19" s="15" t="n">
        <v>8766</v>
      </c>
      <c r="N19" s="15" t="n">
        <v>8889</v>
      </c>
      <c r="O19" s="15" t="n">
        <v>123</v>
      </c>
    </row>
    <row r="20">
      <c r="A20" s="33" t="inlineStr">
        <is>
          <t>TOTAL</t>
        </is>
      </c>
      <c r="B20" s="33" t="inlineStr">
        <is>
          <t>-</t>
        </is>
      </c>
      <c r="C20" s="33" t="inlineStr">
        <is>
          <t>GCC Aggregate</t>
        </is>
      </c>
      <c r="D20" s="36">
        <f>SUM(D5:D19)</f>
        <v/>
      </c>
      <c r="E20" s="36">
        <f>SUM(E5:E19)</f>
        <v/>
      </c>
      <c r="F20" s="36">
        <f>SUM(F5:F19)</f>
        <v/>
      </c>
      <c r="G20" s="36">
        <f>SUM(G5:G19)</f>
        <v/>
      </c>
      <c r="H20" s="36">
        <f>SUM(H5:H19)</f>
        <v/>
      </c>
      <c r="I20" s="36">
        <f>SUM(I5:I19)</f>
        <v/>
      </c>
      <c r="J20" s="34">
        <f>SUM(J5:J19)</f>
        <v/>
      </c>
      <c r="K20" s="34">
        <f>SUM(K5:K19)</f>
        <v/>
      </c>
      <c r="L20" s="34">
        <f>SUM(L5:L19)</f>
        <v/>
      </c>
      <c r="M20" s="34">
        <f>SUM(M5:M19)</f>
        <v/>
      </c>
      <c r="N20" s="34">
        <f>SUM(N5:N19)</f>
        <v/>
      </c>
      <c r="O20" s="34">
        <f>SUM(O5:O19)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28" customWidth="1" min="2" max="2"/>
    <col width="85" customWidth="1" min="3" max="3"/>
    <col width="26" customWidth="1" min="4" max="4"/>
    <col width="26" customWidth="1" min="5" max="5"/>
    <col width="76" customWidth="1" min="6" max="6"/>
  </cols>
  <sheetData>
    <row r="1">
      <c r="A1" s="1" t="inlineStr">
        <is>
          <t>EMPIRICAL MACHINE LEARNING BENCHMARK &amp; FEATURE IMPORTANCE METRICS</t>
        </is>
      </c>
    </row>
    <row r="2">
      <c r="A2" s="2" t="inlineStr">
        <is>
          <t>Evaluated on Out-of-Sample Holdout Test Horizon (2025–2026, N=30 zone-years)</t>
        </is>
      </c>
    </row>
    <row r="3"/>
    <row r="4">
      <c r="A4" s="7" t="inlineStr">
        <is>
          <t>TABLE 1: MULTI-MODEL FORECASTING ACCURACY EVALUATION</t>
        </is>
      </c>
    </row>
    <row r="5" ht="24" customHeight="1">
      <c r="A5" s="8" t="inlineStr">
        <is>
          <t>Performance Metric</t>
        </is>
      </c>
      <c r="B5" s="8" t="inlineStr">
        <is>
          <t>Baseline Linear Regressor</t>
        </is>
      </c>
      <c r="C5" s="8" t="inlineStr">
        <is>
          <t>PyTorch LSTM Sequential</t>
        </is>
      </c>
      <c r="D5" s="8" t="inlineStr">
        <is>
          <t>Hybrid (LSTM + XGBoost)</t>
        </is>
      </c>
      <c r="E5" s="8" t="inlineStr">
        <is>
          <t>Hybrid Gain vs LSTM (%)</t>
        </is>
      </c>
      <c r="F5" s="8" t="inlineStr">
        <is>
          <t>Evaluation Description</t>
        </is>
      </c>
    </row>
    <row r="6">
      <c r="A6" s="5" t="inlineStr">
        <is>
          <t>R² Score (Goodness of Fit)</t>
        </is>
      </c>
      <c r="B6" s="55" t="n">
        <v>1</v>
      </c>
      <c r="C6" s="55" t="n">
        <v>0.9985000000000001</v>
      </c>
      <c r="D6" s="56" t="n">
        <v>0.9994</v>
      </c>
      <c r="E6" s="57" t="n">
        <v>0.0009</v>
      </c>
      <c r="F6" s="6" t="inlineStr">
        <is>
          <t>Coefficient of determination; proportion of variance explained by model</t>
        </is>
      </c>
    </row>
    <row r="7">
      <c r="A7" s="23" t="inlineStr">
        <is>
          <t>MAPE (% Error Rate)</t>
        </is>
      </c>
      <c r="B7" s="26" t="n">
        <v>0.14</v>
      </c>
      <c r="C7" s="26" t="n">
        <v>2.74</v>
      </c>
      <c r="D7" s="58" t="n">
        <v>0.66</v>
      </c>
      <c r="E7" s="59" t="n">
        <v>-0.7591</v>
      </c>
      <c r="F7" s="30" t="inlineStr">
        <is>
          <t>Mean Absolute Percentage Error; measures relative forecast deviation</t>
        </is>
      </c>
    </row>
    <row r="8">
      <c r="A8" s="5" t="inlineStr">
        <is>
          <t>MAE (Mean Absolute Error)</t>
        </is>
      </c>
      <c r="B8" s="18" t="n">
        <v>813.0599999999999</v>
      </c>
      <c r="C8" s="18" t="n">
        <v>8299.059999999999</v>
      </c>
      <c r="D8" s="60" t="n">
        <v>4337.7</v>
      </c>
      <c r="E8" s="57" t="n">
        <v>-0.4772999999999999</v>
      </c>
      <c r="F8" s="6" t="inlineStr">
        <is>
          <t>Mean magnitude of prediction error in absolute population count (persons)</t>
        </is>
      </c>
    </row>
    <row r="9">
      <c r="A9" s="23" t="inlineStr">
        <is>
          <t>RMSE (Root Mean Squared Error)</t>
        </is>
      </c>
      <c r="B9" s="27" t="n">
        <v>918.5</v>
      </c>
      <c r="C9" s="27" t="n">
        <v>10369.26</v>
      </c>
      <c r="D9" s="61" t="n">
        <v>6440.19</v>
      </c>
      <c r="E9" s="59" t="n">
        <v>-0.3789</v>
      </c>
      <c r="F9" s="30" t="inlineStr">
        <is>
          <t>Standard deviation of residuals; penalizes large prediction outliers</t>
        </is>
      </c>
    </row>
    <row r="10"/>
    <row r="11">
      <c r="A11" s="7" t="inlineStr">
        <is>
          <t>TABLE 2: XGBOOST SPATIAL LOCALIZER FEATURE IMPORTANCE WEIGHTS</t>
        </is>
      </c>
    </row>
    <row r="12" ht="24" customHeight="1">
      <c r="A12" s="62" t="inlineStr">
        <is>
          <t>Feature Name</t>
        </is>
      </c>
      <c r="B12" s="62" t="inlineStr">
        <is>
          <t>Domain Category</t>
        </is>
      </c>
      <c r="C12" s="62" t="inlineStr">
        <is>
          <t>Feature Description</t>
        </is>
      </c>
      <c r="D12" s="62" t="inlineStr">
        <is>
          <t>Relative Gain Weight</t>
        </is>
      </c>
      <c r="E12" s="62" t="inlineStr">
        <is>
          <t>Cumulative Weight (%)</t>
        </is>
      </c>
    </row>
    <row r="13">
      <c r="A13" s="5" t="inlineStr">
        <is>
          <t>Projected Population (LSTM Sequence)</t>
        </is>
      </c>
      <c r="B13" s="14" t="inlineStr">
        <is>
          <t>Temporal</t>
        </is>
      </c>
      <c r="C13" s="6" t="inlineStr">
        <is>
          <t>Non-linear multi-step sequence projection generated by PyTorch recurrent network</t>
        </is>
      </c>
      <c r="D13" s="63" t="n">
        <v>0.28</v>
      </c>
      <c r="E13" s="64" t="n">
        <v>0.28</v>
      </c>
    </row>
    <row r="14">
      <c r="A14" s="23" t="inlineStr">
        <is>
          <t>Built-Up Surface Area (m²)</t>
        </is>
      </c>
      <c r="B14" s="22" t="inlineStr">
        <is>
          <t>Physical Proxy</t>
        </is>
      </c>
      <c r="C14" s="30" t="inlineStr">
        <is>
          <t>European Commission Global Human Settlement Layer (GHSL) impervious land footprint</t>
        </is>
      </c>
      <c r="D14" s="65" t="n">
        <v>0.22</v>
      </c>
      <c r="E14" s="66" t="n">
        <v>0.5</v>
      </c>
    </row>
    <row r="15">
      <c r="A15" s="5" t="inlineStr">
        <is>
          <t>Night-Light Radiance (VIIRS)</t>
        </is>
      </c>
      <c r="B15" s="14" t="inlineStr">
        <is>
          <t>Economic Proxy</t>
        </is>
      </c>
      <c r="C15" s="6" t="inlineStr">
        <is>
          <t>NOAA Visible Infrared Imaging Radiometer Suite nighttime lights luminosity</t>
        </is>
      </c>
      <c r="D15" s="63" t="n">
        <v>0.16</v>
      </c>
      <c r="E15" s="64" t="n">
        <v>0.66</v>
      </c>
    </row>
    <row r="16">
      <c r="A16" s="23" t="inlineStr">
        <is>
          <t>Year-over-Year Built-Up Change</t>
        </is>
      </c>
      <c r="B16" s="22" t="inlineStr">
        <is>
          <t>Urban Dynamics</t>
        </is>
      </c>
      <c r="C16" s="30" t="inlineStr">
        <is>
          <t>First-order temporal differential of physical built-up surface area growth</t>
        </is>
      </c>
      <c r="D16" s="65" t="n">
        <v>0.12</v>
      </c>
      <c r="E16" s="66" t="n">
        <v>0.78</v>
      </c>
    </row>
    <row r="17">
      <c r="A17" s="5" t="inlineStr">
        <is>
          <t>Year-over-Year Night-Light Change</t>
        </is>
      </c>
      <c r="B17" s="14" t="inlineStr">
        <is>
          <t>Urban Dynamics</t>
        </is>
      </c>
      <c r="C17" s="6" t="inlineStr">
        <is>
          <t>First-order temporal differential of economic nocturnal luminance change</t>
        </is>
      </c>
      <c r="D17" s="63" t="n">
        <v>0.09</v>
      </c>
      <c r="E17" s="64" t="n">
        <v>0.87</v>
      </c>
    </row>
    <row r="18">
      <c r="A18" s="23" t="inlineStr">
        <is>
          <t>Population Growth Rate (%)</t>
        </is>
      </c>
      <c r="B18" s="22" t="inlineStr">
        <is>
          <t>Demographic</t>
        </is>
      </c>
      <c r="C18" s="30" t="inlineStr">
        <is>
          <t>Zone historical demographic expansion rate between baseline epochs</t>
        </is>
      </c>
      <c r="D18" s="65" t="n">
        <v>0.08</v>
      </c>
      <c r="E18" s="66" t="n">
        <v>0.95</v>
      </c>
    </row>
    <row r="19">
      <c r="A19" s="5" t="inlineStr">
        <is>
          <t>Zone Spatial Coordinate (ID)</t>
        </is>
      </c>
      <c r="B19" s="14" t="inlineStr">
        <is>
          <t>Spatial Context</t>
        </is>
      </c>
      <c r="C19" s="6" t="inlineStr">
        <is>
          <t>Categorical spatial index embedding distinct municipal geographic coordinates</t>
        </is>
      </c>
      <c r="D19" s="63" t="n">
        <v>0.05</v>
      </c>
      <c r="E19" s="64" t="n">
        <v>1</v>
      </c>
    </row>
    <row r="20">
      <c r="A20" s="33" t="inlineStr">
        <is>
          <t>TOTAL ATTRIBUTION WEIGHT</t>
        </is>
      </c>
      <c r="B20" s="33" t="inlineStr">
        <is>
          <t>All Domains</t>
        </is>
      </c>
      <c r="C20" s="33" t="inlineStr">
        <is>
          <t>Sum of GBDT gain across all architectural feature inputs</t>
        </is>
      </c>
      <c r="D20" s="67">
        <f>SUM(D13:D19)</f>
        <v/>
      </c>
      <c r="E20" s="33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6" customWidth="1" min="2" max="2"/>
    <col width="40" customWidth="1" min="3" max="3"/>
    <col width="55" customWidth="1" min="4" max="4"/>
    <col width="18" customWidth="1" min="5" max="5"/>
    <col width="95" customWidth="1" min="6" max="6"/>
  </cols>
  <sheetData>
    <row r="1">
      <c r="A1" s="1" t="inlineStr">
        <is>
          <t>MATHEMATICAL FORMULATIONS &amp; MUNICIPAL PLANNING NORMS REFERENCE</t>
        </is>
      </c>
    </row>
    <row r="2">
      <c r="A2" s="2" t="inlineStr">
        <is>
          <t>Standardized Equations and Engineering Benchmarks Governed by MoHUA, CEA, IPHS, and RTE</t>
        </is>
      </c>
    </row>
    <row r="3"/>
    <row r="4" ht="24" customHeight="1">
      <c r="A4" s="8" t="inlineStr">
        <is>
          <t>Domain Category</t>
        </is>
      </c>
      <c r="B4" s="8" t="inlineStr">
        <is>
          <t>Planning Variable</t>
        </is>
      </c>
      <c r="C4" s="8" t="inlineStr">
        <is>
          <t>Governing Standard / Benchmark</t>
        </is>
      </c>
      <c r="D4" s="8" t="inlineStr">
        <is>
          <t>Mathematical Formulation</t>
        </is>
      </c>
      <c r="E4" s="8" t="inlineStr">
        <is>
          <t>Unit of Measure</t>
        </is>
      </c>
      <c r="F4" s="8" t="inlineStr">
        <is>
          <t>Engineering Rationale &amp; Application</t>
        </is>
      </c>
    </row>
    <row r="5">
      <c r="A5" s="5" t="inlineStr">
        <is>
          <t>Municipal Water Supply</t>
        </is>
      </c>
      <c r="B5" s="5" t="inlineStr">
        <is>
          <t>Potable Daily Demand (W)</t>
        </is>
      </c>
      <c r="C5" s="6" t="inlineStr">
        <is>
          <t>MoHUA / CPHEEO Indian Standard</t>
        </is>
      </c>
      <c r="D5" s="68" t="inlineStr">
        <is>
          <t>W_t = (P_t * 135) / 1,000,000</t>
        </is>
      </c>
      <c r="E5" s="14" t="inlineStr">
        <is>
          <t>ML/day (MLD)</t>
        </is>
      </c>
      <c r="F5" s="6" t="inlineStr">
        <is>
          <t>Standard urban per capita potable allowance covering domestic, sanitation, and hygiene needs</t>
        </is>
      </c>
    </row>
    <row r="6">
      <c r="A6" s="23" t="inlineStr">
        <is>
          <t>Electric Grid Sizing</t>
        </is>
      </c>
      <c r="B6" s="23" t="inlineStr">
        <is>
          <t>Electric Power Demand (E)</t>
        </is>
      </c>
      <c r="C6" s="30" t="inlineStr">
        <is>
          <t>Central Electricity Authority (CEA)</t>
        </is>
      </c>
      <c r="D6" s="69" t="inlineStr">
        <is>
          <t>E_t = (P_t * 3.5) / 1,000</t>
        </is>
      </c>
      <c r="E6" s="22" t="inlineStr">
        <is>
          <t>MWh/day</t>
        </is>
      </c>
      <c r="F6" s="30" t="inlineStr">
        <is>
          <t>Average residential and commercial smart city power consumption factor</t>
        </is>
      </c>
    </row>
    <row r="7">
      <c r="A7" s="5" t="inlineStr">
        <is>
          <t>Public Healthcare</t>
        </is>
      </c>
      <c r="B7" s="5" t="inlineStr">
        <is>
          <t>Hospital Beds Capacity (H)</t>
        </is>
      </c>
      <c r="C7" s="6" t="inlineStr">
        <is>
          <t>Indian Public Health Standards (IPHS)</t>
        </is>
      </c>
      <c r="D7" s="68" t="inlineStr">
        <is>
          <t>H_t = ROUND(P_t * 0.003)</t>
        </is>
      </c>
      <c r="E7" s="14" t="inlineStr">
        <is>
          <t>Beds (Count)</t>
        </is>
      </c>
      <c r="F7" s="6" t="inlineStr">
        <is>
          <t>Minimum baseline target of 3.0 secondary/tertiary hospital beds per 1,000 urban citizens</t>
        </is>
      </c>
    </row>
    <row r="8">
      <c r="A8" s="23" t="inlineStr">
        <is>
          <t>Public Education</t>
        </is>
      </c>
      <c r="B8" s="23" t="inlineStr">
        <is>
          <t>School Seats Capacity (S)</t>
        </is>
      </c>
      <c r="C8" s="30" t="inlineStr">
        <is>
          <t>RTE Act &amp; UDPFI Guidelines</t>
        </is>
      </c>
      <c r="D8" s="69" t="inlineStr">
        <is>
          <t>S_t = ROUND(P_t * 0.05)</t>
        </is>
      </c>
      <c r="E8" s="22" t="inlineStr">
        <is>
          <t>Seats (Count)</t>
        </is>
      </c>
      <c r="F8" s="30" t="inlineStr">
        <is>
          <t>Baseline requirement of 50 school classroom seats per 1,000 total resident population</t>
        </is>
      </c>
    </row>
    <row r="9">
      <c r="A9" s="5" t="inlineStr">
        <is>
          <t>Civic Vulnerability</t>
        </is>
      </c>
      <c r="B9" s="5" t="inlineStr">
        <is>
          <t>Density Factor (DF)</t>
        </is>
      </c>
      <c r="C9" s="6" t="inlineStr">
        <is>
          <t>GCC Spatial Normalization</t>
        </is>
      </c>
      <c r="D9" s="68" t="inlineStr">
        <is>
          <t>DF = (P_2030 / 100,000) * 5.0</t>
        </is>
      </c>
      <c r="E9" s="14" t="inlineStr">
        <is>
          <t>Score Units</t>
        </is>
      </c>
      <c r="F9" s="6" t="inlineStr">
        <is>
          <t>Measures stress exerted on municipal civic services due to gross population concentration</t>
        </is>
      </c>
    </row>
    <row r="10">
      <c r="A10" s="23" t="inlineStr">
        <is>
          <t>Civic Vulnerability</t>
        </is>
      </c>
      <c r="B10" s="23" t="inlineStr">
        <is>
          <t>Demand Factor (WF)</t>
        </is>
      </c>
      <c r="C10" s="30" t="inlineStr">
        <is>
          <t>GCC Hydrological Normalization</t>
        </is>
      </c>
      <c r="D10" s="69" t="inlineStr">
        <is>
          <t>WF = (Water_LPD / 10,000,000) * 3.0</t>
        </is>
      </c>
      <c r="E10" s="22" t="inlineStr">
        <is>
          <t>Score Units</t>
        </is>
      </c>
      <c r="F10" s="30" t="inlineStr">
        <is>
          <t>Quantifies absolute volume pressure exerted on localized water distribution networks</t>
        </is>
      </c>
    </row>
    <row r="11">
      <c r="A11" s="5" t="inlineStr">
        <is>
          <t>Civic Vulnerability</t>
        </is>
      </c>
      <c r="B11" s="5" t="inlineStr">
        <is>
          <t>Growth Factor (GF)</t>
        </is>
      </c>
      <c r="C11" s="6" t="inlineStr">
        <is>
          <t>GCC Dynamic Expansion Rate</t>
        </is>
      </c>
      <c r="D11" s="68" t="inlineStr">
        <is>
          <t>GF = MAX(0.0, Growth_% * 2.5)</t>
        </is>
      </c>
      <c r="E11" s="14" t="inlineStr">
        <is>
          <t>Score Units</t>
        </is>
      </c>
      <c r="F11" s="6" t="inlineStr">
        <is>
          <t>Captures rapid demographic expansion acceleration requiring upfront capital deployment</t>
        </is>
      </c>
    </row>
    <row r="12">
      <c r="A12" s="23" t="inlineStr">
        <is>
          <t>Civic Vulnerability</t>
        </is>
      </c>
      <c r="B12" s="23" t="inlineStr">
        <is>
          <t>Total Priority Score</t>
        </is>
      </c>
      <c r="C12" s="30" t="inlineStr">
        <is>
          <t>Multi-Criteria Decision Matrix</t>
        </is>
      </c>
      <c r="D12" s="69" t="inlineStr">
        <is>
          <t>Score = 0.40*GF + 0.35*DF + 0.25*WF</t>
        </is>
      </c>
      <c r="E12" s="22" t="inlineStr">
        <is>
          <t>Index (0–100)</t>
        </is>
      </c>
      <c r="F12" s="30" t="inlineStr">
        <is>
          <t>Aggregated composite index determining capital budget prioritization across the 15 zones</t>
        </is>
      </c>
    </row>
    <row r="13">
      <c r="A13" s="5" t="inlineStr">
        <is>
          <t>Model Accuracy</t>
        </is>
      </c>
      <c r="B13" s="5" t="inlineStr">
        <is>
          <t>Mean Absolute Error (MAE)</t>
        </is>
      </c>
      <c r="C13" s="6" t="inlineStr">
        <is>
          <t>Statistical Metric</t>
        </is>
      </c>
      <c r="D13" s="68" t="inlineStr">
        <is>
          <t>MAE = (1/n) * SUM(|y_true - y_pred|)</t>
        </is>
      </c>
      <c r="E13" s="14" t="inlineStr">
        <is>
          <t>Persons</t>
        </is>
      </c>
      <c r="F13" s="6" t="inlineStr">
        <is>
          <t>Quantifies average absolute population forecast error across test horizon sample</t>
        </is>
      </c>
    </row>
    <row r="14">
      <c r="A14" s="23" t="inlineStr">
        <is>
          <t>Model Accuracy</t>
        </is>
      </c>
      <c r="B14" s="23" t="inlineStr">
        <is>
          <t>Root Mean Squared Error (RMSE)</t>
        </is>
      </c>
      <c r="C14" s="30" t="inlineStr">
        <is>
          <t>Statistical Metric</t>
        </is>
      </c>
      <c r="D14" s="69" t="inlineStr">
        <is>
          <t>RMSE = SQRT((1/n) * SUM((y_true - y_pred)^2))</t>
        </is>
      </c>
      <c r="E14" s="22" t="inlineStr">
        <is>
          <t>Persons</t>
        </is>
      </c>
      <c r="F14" s="30" t="inlineStr">
        <is>
          <t>Heavily penalizes extreme forecast outliers in critical municipal planning predictions</t>
        </is>
      </c>
    </row>
    <row r="15">
      <c r="A15" s="5" t="inlineStr">
        <is>
          <t>Model Accuracy</t>
        </is>
      </c>
      <c r="B15" s="5" t="inlineStr">
        <is>
          <t>Mean Absolute % Error (MAPE)</t>
        </is>
      </c>
      <c r="C15" s="6" t="inlineStr">
        <is>
          <t>Statistical Metric</t>
        </is>
      </c>
      <c r="D15" s="68" t="inlineStr">
        <is>
          <t>MAPE = (1/n) * SUM(|y_true - y_pred| / y_true) * 100</t>
        </is>
      </c>
      <c r="E15" s="14" t="inlineStr">
        <is>
          <t>% Error</t>
        </is>
      </c>
      <c r="F15" s="6" t="inlineStr">
        <is>
          <t>Standard scale-independent relative error metric comparing cross-zone prediction accuracy</t>
        </is>
      </c>
    </row>
    <row r="16">
      <c r="A16" s="23" t="inlineStr">
        <is>
          <t>Model Accuracy</t>
        </is>
      </c>
      <c r="B16" s="23" t="inlineStr">
        <is>
          <t>Coefficient of Determination (R²)</t>
        </is>
      </c>
      <c r="C16" s="30" t="inlineStr">
        <is>
          <t>Statistical Metric</t>
        </is>
      </c>
      <c r="D16" s="69" t="inlineStr">
        <is>
          <t>R² = 1 - (SS_res / SS_tot)</t>
        </is>
      </c>
      <c r="E16" s="22" t="inlineStr">
        <is>
          <t>Ratio (0–1)</t>
        </is>
      </c>
      <c r="F16" s="30" t="inlineStr">
        <is>
          <t>Proportion of demographic variance explained by the multimodal hybrid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2026-09-26T17:04:36Z</dcterms:created>
  <dcterms:modified xsi:type="dcterms:W3CDTF">2026-09-26T17:04:37Z</dcterms:modified>
</cp:coreProperties>
</file>